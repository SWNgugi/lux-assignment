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Lux Assignment\"/>
    </mc:Choice>
  </mc:AlternateContent>
  <bookViews>
    <workbookView xWindow="0" yWindow="0" windowWidth="25600" windowHeight="10530" firstSheet="6" activeTab="11"/>
  </bookViews>
  <sheets>
    <sheet name="Avg rating by Disc Category" sheetId="3" r:id="rId1"/>
    <sheet name="Product Distribution" sheetId="4" r:id="rId2"/>
    <sheet name="Relationship btwn disc% " sheetId="5" r:id="rId3"/>
    <sheet name="Rship btwn rating" sheetId="6" r:id="rId4"/>
    <sheet name="Disc vs Customer Engagement" sheetId="7" r:id="rId5"/>
    <sheet name="High rated products vs reviews" sheetId="8" r:id="rId6"/>
    <sheet name="Top 10 disc" sheetId="13" r:id="rId7"/>
    <sheet name="Top 10 by reviews" sheetId="14" r:id="rId8"/>
    <sheet name="Top 10 Rating" sheetId="15" r:id="rId9"/>
    <sheet name="Sheet3" sheetId="16" r:id="rId10"/>
    <sheet name="excel_jumia_original" sheetId="1" r:id="rId11"/>
    <sheet name="Jumia Dashboard" sheetId="12" r:id="rId12"/>
  </sheets>
  <definedNames>
    <definedName name="_xlnm._FilterDatabase" localSheetId="10" hidden="1">excel_jumia_original!$J$1:$J$113</definedName>
    <definedName name="_xlnm._FilterDatabase" localSheetId="6" hidden="1">'Top 10 disc'!$B$3:$B$227</definedName>
    <definedName name="Slicer_Discount_Amount">#N/A</definedName>
    <definedName name="Slicer_Discount_Category">#N/A</definedName>
    <definedName name="Slicer_Rating_Category">#N/A</definedName>
  </definedNames>
  <calcPr calcId="162913"/>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2" i="1"/>
  <c r="D108" i="1" l="1"/>
  <c r="D86" i="1"/>
  <c r="D71" i="1"/>
  <c r="D67" i="1"/>
  <c r="D64" i="1"/>
  <c r="D89" i="1"/>
  <c r="D72" i="1"/>
  <c r="D90" i="1"/>
  <c r="D65" i="1"/>
  <c r="D93" i="1"/>
  <c r="D87" i="1"/>
  <c r="D68" i="1"/>
  <c r="D66" i="1"/>
  <c r="D77" i="1"/>
  <c r="D85" i="1"/>
  <c r="D57" i="1"/>
  <c r="D58" i="1"/>
  <c r="D59" i="1"/>
  <c r="D73" i="1"/>
  <c r="D74" i="1"/>
  <c r="D96" i="1"/>
  <c r="D2" i="1"/>
  <c r="D91" i="1"/>
  <c r="D80" i="1"/>
  <c r="D81" i="1"/>
  <c r="D75" i="1"/>
  <c r="D94" i="1"/>
  <c r="D95" i="1"/>
  <c r="D88" i="1"/>
  <c r="D3" i="1"/>
  <c r="D82" i="1"/>
  <c r="D69" i="1"/>
  <c r="D83" i="1"/>
  <c r="D70" i="1"/>
  <c r="D78" i="1"/>
  <c r="D60" i="1"/>
  <c r="D61" i="1"/>
  <c r="D84" i="1"/>
  <c r="D79" i="1"/>
  <c r="D4" i="1"/>
  <c r="D5" i="1"/>
  <c r="D6" i="1"/>
  <c r="D7" i="1"/>
  <c r="D8" i="1"/>
  <c r="D9" i="1"/>
  <c r="D10" i="1"/>
  <c r="D11" i="1"/>
  <c r="D12" i="1"/>
  <c r="D13" i="1"/>
  <c r="D14" i="1"/>
  <c r="D15" i="1"/>
  <c r="D16" i="1"/>
  <c r="D17" i="1"/>
  <c r="D18" i="1"/>
  <c r="D106" i="1"/>
  <c r="D97" i="1"/>
  <c r="D111" i="1"/>
  <c r="D103" i="1"/>
  <c r="D104" i="1"/>
  <c r="D102" i="1"/>
  <c r="D109" i="1"/>
  <c r="D107" i="1"/>
  <c r="D98" i="1"/>
  <c r="D105" i="1"/>
  <c r="D99" i="1"/>
  <c r="D100" i="1"/>
  <c r="D110" i="1"/>
  <c r="D112" i="1"/>
  <c r="E112" i="1" s="1"/>
  <c r="F112" i="1" s="1"/>
  <c r="D19" i="1"/>
  <c r="D20" i="1"/>
  <c r="D21" i="1"/>
  <c r="D22" i="1"/>
  <c r="D101" i="1"/>
  <c r="D62" i="1"/>
  <c r="D23" i="1"/>
  <c r="D24" i="1"/>
  <c r="D92" i="1"/>
  <c r="D25" i="1"/>
  <c r="D26" i="1"/>
  <c r="D27" i="1"/>
  <c r="D28" i="1"/>
  <c r="D29" i="1"/>
  <c r="D30" i="1"/>
  <c r="D31" i="1"/>
  <c r="D32" i="1"/>
  <c r="D33" i="1"/>
  <c r="D34" i="1"/>
  <c r="D35" i="1"/>
  <c r="D36" i="1"/>
  <c r="D37" i="1"/>
  <c r="D38" i="1"/>
  <c r="D39" i="1"/>
  <c r="D63" i="1"/>
  <c r="D40" i="1"/>
  <c r="D41" i="1"/>
  <c r="D42" i="1"/>
  <c r="D43" i="1"/>
  <c r="D44" i="1"/>
  <c r="D45" i="1"/>
  <c r="D46" i="1"/>
  <c r="E46" i="1" s="1"/>
  <c r="F46" i="1" s="1"/>
  <c r="D47" i="1"/>
  <c r="D113" i="1"/>
  <c r="D48" i="1"/>
  <c r="D49" i="1"/>
  <c r="D50" i="1"/>
  <c r="D51" i="1"/>
  <c r="D52" i="1"/>
  <c r="D53" i="1"/>
  <c r="E53" i="1" s="1"/>
  <c r="F53" i="1" s="1"/>
  <c r="D54" i="1"/>
  <c r="D55" i="1"/>
  <c r="D56" i="1"/>
  <c r="D76" i="1"/>
  <c r="E76" i="1" s="1"/>
  <c r="H76" i="1"/>
  <c r="H86" i="1"/>
  <c r="H71" i="1"/>
  <c r="H67" i="1"/>
  <c r="H64" i="1"/>
  <c r="H89" i="1"/>
  <c r="H72" i="1"/>
  <c r="H90" i="1"/>
  <c r="H65" i="1"/>
  <c r="H93" i="1"/>
  <c r="H87" i="1"/>
  <c r="H68" i="1"/>
  <c r="H66" i="1"/>
  <c r="H77" i="1"/>
  <c r="H85" i="1"/>
  <c r="H57" i="1"/>
  <c r="H58" i="1"/>
  <c r="H59" i="1"/>
  <c r="H73" i="1"/>
  <c r="H74" i="1"/>
  <c r="H96" i="1"/>
  <c r="H2" i="1"/>
  <c r="H91" i="1"/>
  <c r="H80" i="1"/>
  <c r="H81" i="1"/>
  <c r="H75" i="1"/>
  <c r="H94" i="1"/>
  <c r="H95" i="1"/>
  <c r="H88" i="1"/>
  <c r="H3" i="1"/>
  <c r="H82" i="1"/>
  <c r="H69" i="1"/>
  <c r="H83" i="1"/>
  <c r="H70" i="1"/>
  <c r="H78" i="1"/>
  <c r="H60" i="1"/>
  <c r="H61" i="1"/>
  <c r="H84" i="1"/>
  <c r="H79" i="1"/>
  <c r="H4" i="1"/>
  <c r="H5" i="1"/>
  <c r="H6" i="1"/>
  <c r="H49" i="1"/>
  <c r="H7" i="1"/>
  <c r="H8" i="1"/>
  <c r="H9" i="1"/>
  <c r="H10" i="1"/>
  <c r="H11" i="1"/>
  <c r="H50" i="1"/>
  <c r="H12" i="1"/>
  <c r="H13" i="1"/>
  <c r="H14" i="1"/>
  <c r="H15" i="1"/>
  <c r="H16" i="1"/>
  <c r="H51" i="1"/>
  <c r="H17" i="1"/>
  <c r="H52" i="1"/>
  <c r="H18" i="1"/>
  <c r="H53" i="1"/>
  <c r="H106" i="1"/>
  <c r="H97" i="1"/>
  <c r="H111" i="1"/>
  <c r="H103" i="1"/>
  <c r="H104" i="1"/>
  <c r="H102" i="1"/>
  <c r="H109" i="1"/>
  <c r="H107" i="1"/>
  <c r="H98" i="1"/>
  <c r="H105" i="1"/>
  <c r="H99" i="1"/>
  <c r="H108" i="1"/>
  <c r="H100" i="1"/>
  <c r="H110" i="1"/>
  <c r="H112" i="1"/>
  <c r="H19" i="1"/>
  <c r="H20" i="1"/>
  <c r="H21" i="1"/>
  <c r="H22" i="1"/>
  <c r="H101" i="1"/>
  <c r="H62" i="1"/>
  <c r="H23" i="1"/>
  <c r="H24" i="1"/>
  <c r="H92" i="1"/>
  <c r="H54" i="1"/>
  <c r="H25" i="1"/>
  <c r="H26" i="1"/>
  <c r="H27" i="1"/>
  <c r="H55" i="1"/>
  <c r="H28" i="1"/>
  <c r="H29" i="1"/>
  <c r="H30" i="1"/>
  <c r="H31" i="1"/>
  <c r="H32" i="1"/>
  <c r="H56" i="1"/>
  <c r="H33" i="1"/>
  <c r="H34" i="1"/>
  <c r="H35" i="1"/>
  <c r="H36" i="1"/>
  <c r="H37" i="1"/>
  <c r="H38" i="1"/>
  <c r="H39" i="1"/>
  <c r="H63" i="1"/>
  <c r="H40" i="1"/>
  <c r="H41" i="1"/>
  <c r="H42" i="1"/>
  <c r="H43" i="1"/>
  <c r="H44" i="1"/>
  <c r="H45" i="1"/>
  <c r="H46" i="1"/>
  <c r="H47" i="1"/>
  <c r="H113" i="1"/>
  <c r="H48" i="1"/>
  <c r="E54" i="1" l="1"/>
  <c r="F54" i="1" s="1"/>
  <c r="E47" i="1"/>
  <c r="F47" i="1" s="1"/>
  <c r="E63" i="1"/>
  <c r="F63" i="1" s="1"/>
  <c r="E39" i="1"/>
  <c r="F39" i="1" s="1"/>
  <c r="E32" i="1"/>
  <c r="F32" i="1" s="1"/>
  <c r="E92" i="1"/>
  <c r="F92" i="1" s="1"/>
  <c r="E31" i="1"/>
  <c r="F31" i="1" s="1"/>
  <c r="E50" i="1"/>
  <c r="F50" i="1" s="1"/>
  <c r="E43" i="1"/>
  <c r="F43" i="1" s="1"/>
  <c r="E36" i="1"/>
  <c r="F36" i="1" s="1"/>
  <c r="E42" i="1"/>
  <c r="F42" i="1" s="1"/>
  <c r="E35" i="1"/>
  <c r="F35" i="1" s="1"/>
  <c r="E111" i="1"/>
  <c r="F111" i="1" s="1"/>
  <c r="E83" i="1"/>
  <c r="F83" i="1" s="1"/>
  <c r="E81" i="1"/>
  <c r="F81" i="1" s="1"/>
  <c r="E56" i="1"/>
  <c r="F56" i="1" s="1"/>
  <c r="E48" i="1"/>
  <c r="F48" i="1" s="1"/>
  <c r="E41" i="1"/>
  <c r="F41" i="1" s="1"/>
  <c r="E20" i="1"/>
  <c r="F20" i="1" s="1"/>
  <c r="E17" i="1"/>
  <c r="F17" i="1" s="1"/>
  <c r="E70" i="1"/>
  <c r="F70" i="1" s="1"/>
  <c r="E4" i="1"/>
  <c r="F4" i="1" s="1"/>
  <c r="E69" i="1"/>
  <c r="F69" i="1" s="1"/>
  <c r="E80" i="1"/>
  <c r="F80" i="1" s="1"/>
  <c r="E5" i="1"/>
  <c r="F5" i="1" s="1"/>
  <c r="E55" i="1"/>
  <c r="F55" i="1" s="1"/>
  <c r="E113" i="1"/>
  <c r="F113" i="1" s="1"/>
  <c r="E40" i="1"/>
  <c r="F40" i="1" s="1"/>
  <c r="E98" i="1"/>
  <c r="F98" i="1" s="1"/>
  <c r="E11" i="1"/>
  <c r="F11" i="1" s="1"/>
  <c r="E79" i="1"/>
  <c r="F79" i="1" s="1"/>
  <c r="E49" i="1"/>
  <c r="F49" i="1" s="1"/>
  <c r="E107" i="1"/>
  <c r="F107" i="1" s="1"/>
  <c r="E18" i="1"/>
  <c r="F18" i="1" s="1"/>
  <c r="E10" i="1"/>
  <c r="F10" i="1" s="1"/>
  <c r="E2" i="1"/>
  <c r="F2" i="1" s="1"/>
  <c r="E28" i="1"/>
  <c r="F28" i="1" s="1"/>
  <c r="E101" i="1"/>
  <c r="F101" i="1" s="1"/>
  <c r="E108" i="1"/>
  <c r="F108" i="1" s="1"/>
  <c r="E103" i="1"/>
  <c r="F103" i="1" s="1"/>
  <c r="E14" i="1"/>
  <c r="F14" i="1" s="1"/>
  <c r="E6" i="1"/>
  <c r="F6" i="1" s="1"/>
  <c r="E75" i="1"/>
  <c r="F75" i="1" s="1"/>
  <c r="E59" i="1"/>
  <c r="F59" i="1" s="1"/>
  <c r="E93" i="1"/>
  <c r="F93" i="1" s="1"/>
  <c r="E22" i="1"/>
  <c r="F22" i="1" s="1"/>
  <c r="E99" i="1"/>
  <c r="F99" i="1" s="1"/>
  <c r="E13" i="1"/>
  <c r="F13" i="1" s="1"/>
  <c r="E58" i="1"/>
  <c r="F58" i="1" s="1"/>
  <c r="E65" i="1"/>
  <c r="F65" i="1" s="1"/>
  <c r="E34" i="1"/>
  <c r="F34" i="1" s="1"/>
  <c r="E26" i="1"/>
  <c r="F26" i="1" s="1"/>
  <c r="E21" i="1"/>
  <c r="F21" i="1" s="1"/>
  <c r="E105" i="1"/>
  <c r="F105" i="1" s="1"/>
  <c r="E97" i="1"/>
  <c r="F97" i="1" s="1"/>
  <c r="E12" i="1"/>
  <c r="F12" i="1" s="1"/>
  <c r="E57" i="1"/>
  <c r="F57" i="1" s="1"/>
  <c r="E77" i="1"/>
  <c r="F77" i="1" s="1"/>
  <c r="E27" i="1"/>
  <c r="F27" i="1" s="1"/>
  <c r="E33" i="1"/>
  <c r="F33" i="1" s="1"/>
  <c r="E25" i="1"/>
  <c r="F25" i="1" s="1"/>
  <c r="E106" i="1"/>
  <c r="F106" i="1" s="1"/>
  <c r="E91" i="1"/>
  <c r="F91" i="1" s="1"/>
  <c r="E85" i="1"/>
  <c r="F85" i="1" s="1"/>
  <c r="E86" i="1"/>
  <c r="F86" i="1" s="1"/>
  <c r="E90" i="1"/>
  <c r="F90" i="1" s="1"/>
  <c r="E82" i="1"/>
  <c r="F82" i="1" s="1"/>
  <c r="E72" i="1"/>
  <c r="F72" i="1" s="1"/>
  <c r="E19" i="1"/>
  <c r="F19" i="1" s="1"/>
  <c r="E84" i="1"/>
  <c r="F84" i="1" s="1"/>
  <c r="E3" i="1"/>
  <c r="F3" i="1" s="1"/>
  <c r="E89" i="1"/>
  <c r="F89" i="1" s="1"/>
  <c r="E24" i="1"/>
  <c r="F24" i="1" s="1"/>
  <c r="E109" i="1"/>
  <c r="F109" i="1" s="1"/>
  <c r="E9" i="1"/>
  <c r="F9" i="1" s="1"/>
  <c r="E61" i="1"/>
  <c r="F61" i="1" s="1"/>
  <c r="E88" i="1"/>
  <c r="F88" i="1" s="1"/>
  <c r="E96" i="1"/>
  <c r="F96" i="1" s="1"/>
  <c r="E66" i="1"/>
  <c r="F66" i="1" s="1"/>
  <c r="E64" i="1"/>
  <c r="F64" i="1" s="1"/>
  <c r="E52" i="1"/>
  <c r="F52" i="1" s="1"/>
  <c r="E45" i="1"/>
  <c r="F45" i="1" s="1"/>
  <c r="E38" i="1"/>
  <c r="F38" i="1" s="1"/>
  <c r="E30" i="1"/>
  <c r="F30" i="1" s="1"/>
  <c r="E23" i="1"/>
  <c r="F23" i="1" s="1"/>
  <c r="E110" i="1"/>
  <c r="F110" i="1" s="1"/>
  <c r="E102" i="1"/>
  <c r="F102" i="1" s="1"/>
  <c r="E16" i="1"/>
  <c r="F16" i="1" s="1"/>
  <c r="E8" i="1"/>
  <c r="F8" i="1" s="1"/>
  <c r="E60" i="1"/>
  <c r="F60" i="1" s="1"/>
  <c r="E95" i="1"/>
  <c r="F95" i="1" s="1"/>
  <c r="E74" i="1"/>
  <c r="F74" i="1" s="1"/>
  <c r="E68" i="1"/>
  <c r="F68" i="1" s="1"/>
  <c r="E67" i="1"/>
  <c r="F67" i="1" s="1"/>
  <c r="E51" i="1"/>
  <c r="F51" i="1" s="1"/>
  <c r="E44" i="1"/>
  <c r="F44" i="1" s="1"/>
  <c r="E37" i="1"/>
  <c r="F37" i="1" s="1"/>
  <c r="E29" i="1"/>
  <c r="F29" i="1" s="1"/>
  <c r="E62" i="1"/>
  <c r="F62" i="1" s="1"/>
  <c r="E100" i="1"/>
  <c r="F100" i="1" s="1"/>
  <c r="E104" i="1"/>
  <c r="F104" i="1" s="1"/>
  <c r="E15" i="1"/>
  <c r="F15" i="1" s="1"/>
  <c r="E7" i="1"/>
  <c r="F7" i="1" s="1"/>
  <c r="E78" i="1"/>
  <c r="F78" i="1" s="1"/>
  <c r="E94" i="1"/>
  <c r="F94" i="1" s="1"/>
  <c r="E73" i="1"/>
  <c r="F73" i="1" s="1"/>
  <c r="E87" i="1"/>
  <c r="F87" i="1" s="1"/>
  <c r="E71" i="1"/>
  <c r="F71" i="1" s="1"/>
  <c r="F76" i="1"/>
</calcChain>
</file>

<file path=xl/sharedStrings.xml><?xml version="1.0" encoding="utf-8"?>
<sst xmlns="http://schemas.openxmlformats.org/spreadsheetml/2006/main" count="214" uniqueCount="155">
  <si>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</si>
  <si>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</si>
  <si>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</si>
  <si>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</si>
  <si>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</si>
  <si>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</si>
  <si>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</si>
  <si>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</si>
  <si>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</si>
  <si>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</si>
  <si>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</si>
  <si>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</si>
  <si>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</si>
  <si>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</si>
  <si>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</si>
  <si>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</si>
  <si>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</si>
  <si>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</si>
  <si>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</si>
  <si>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</si>
  <si>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</si>
  <si>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</si>
  <si>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</si>
  <si>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</si>
  <si>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</si>
  <si>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</si>
  <si>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</si>
  <si>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</si>
  <si>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</si>
  <si>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</si>
  <si>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</si>
  <si>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</si>
  <si>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</si>
  <si>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</si>
  <si>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</si>
  <si>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</si>
  <si>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</si>
  <si>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</si>
  <si>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</si>
  <si>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</si>
  <si>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</si>
  <si>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</si>
  <si>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</si>
  <si>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</si>
  <si>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</si>
  <si>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</si>
  <si>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</si>
  <si>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</si>
  <si>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</si>
  <si>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</si>
  <si>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</si>
  <si>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</si>
  <si>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</si>
  <si>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</si>
  <si>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</si>
  <si>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</si>
  <si>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</si>
  <si>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</si>
  <si>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</si>
  <si>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</si>
  <si>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</si>
  <si>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</si>
  <si>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</si>
  <si>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</si>
  <si>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</si>
  <si>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</si>
  <si>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</si>
  <si>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</si>
  <si>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</si>
  <si>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</si>
  <si>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</si>
  <si>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</si>
  <si>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</si>
  <si>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</si>
  <si>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</si>
  <si>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</si>
  <si>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</si>
  <si>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</si>
  <si>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</si>
  <si>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</si>
  <si>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</si>
  <si>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</si>
  <si>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</si>
  <si>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</si>
  <si>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</si>
  <si>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</si>
  <si>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</si>
  <si>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</si>
  <si>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</si>
  <si>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</si>
  <si>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</si>
  <si>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</si>
  <si>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</si>
  <si>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</si>
  <si>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</si>
  <si>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</si>
  <si>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</si>
  <si>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</si>
  <si>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</si>
  <si>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</si>
  <si>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</si>
  <si>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</si>
  <si>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</si>
  <si>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</si>
  <si>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</si>
  <si>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</si>
  <si>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</si>
  <si>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</si>
  <si>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</si>
  <si>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</si>
  <si>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</si>
  <si>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</si>
  <si>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</si>
  <si>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</si>
  <si>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</si>
  <si>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Discount Amount</t>
  </si>
  <si>
    <t>Rating Category</t>
  </si>
  <si>
    <t>Discount Category</t>
  </si>
  <si>
    <t>Row Labels</t>
  </si>
  <si>
    <t>High Discount</t>
  </si>
  <si>
    <t>Low Discount</t>
  </si>
  <si>
    <t>Medium Discount</t>
  </si>
  <si>
    <t>Grand Total</t>
  </si>
  <si>
    <t>Average of Discount Amount</t>
  </si>
  <si>
    <t>Average of Rating</t>
  </si>
  <si>
    <t>Average</t>
  </si>
  <si>
    <t>Excellent</t>
  </si>
  <si>
    <t>Poor</t>
  </si>
  <si>
    <t>Count of Product</t>
  </si>
  <si>
    <t>Count of Review2</t>
  </si>
  <si>
    <t>0.0126382306477093-0.112638230647709</t>
  </si>
  <si>
    <t>0.112638230647709-0.212638230647709</t>
  </si>
  <si>
    <t>0.212638230647709-0.312638230647709</t>
  </si>
  <si>
    <t>0.312638230647709-0.412638230647709</t>
  </si>
  <si>
    <t>0.412638230647709-0.512638230647709</t>
  </si>
  <si>
    <t>0.512638230647709-0.612638230647709</t>
  </si>
  <si>
    <t>Sum of Review2</t>
  </si>
  <si>
    <t>24-223</t>
  </si>
  <si>
    <t>224-423</t>
  </si>
  <si>
    <t>424-623</t>
  </si>
  <si>
    <t>624-823</t>
  </si>
  <si>
    <t>824-1023</t>
  </si>
  <si>
    <t>1024-1223</t>
  </si>
  <si>
    <t>1224-1423</t>
  </si>
  <si>
    <t>1424-1623</t>
  </si>
  <si>
    <t>1624-1823</t>
  </si>
  <si>
    <t>1824-2023</t>
  </si>
  <si>
    <t>2224-2423</t>
  </si>
  <si>
    <t>2424-2623</t>
  </si>
  <si>
    <t>Sum of Discount</t>
  </si>
  <si>
    <t>Sum of Rating</t>
  </si>
  <si>
    <t>Sum of Product</t>
  </si>
  <si>
    <t>N/A</t>
  </si>
  <si>
    <t>(blank)</t>
  </si>
  <si>
    <t>0.612638230647709-0.712638230647709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</si>
</sst>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ES]\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18" fillId="0" borderId="0" xfId="0" applyFont="1"/>
    <xf numFmtId="164" fontId="18" fillId="0" borderId="0" xfId="0" applyNumberFormat="1" applyFont="1"/>
    <xf numFmtId="164" fontId="0" fillId="0" borderId="0" xfId="0" applyNumberFormat="1"/>
    <xf numFmtId="2" fontId="18" fillId="0" borderId="0" xfId="0" applyNumberFormat="1" applyFon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9" fontId="0" fillId="0" borderId="0" xfId="42" applyFont="1"/>
    <xf numFmtId="9" fontId="0" fillId="0" borderId="0" xfId="0" applyNumberFormat="1"/>
    <xf numFmtId="9"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13" formatCode="0%"/>
    </dxf>
    <dxf>
      <numFmt numFmtId="13" formatCode="0%"/>
    </dxf>
    <dxf>
      <numFmt numFmtId="35" formatCode="_(* #,##0.00_);_(* \(#,##0.00\);_(* &quot;-&quot;??_);_(@_)"/>
    </dxf>
    <dxf>
      <font>
        <color rgb="FF9C0006"/>
      </font>
      <fill>
        <patternFill>
          <bgColor rgb="FFFFC7CE"/>
        </patternFill>
      </fill>
    </dxf>
    <dxf>
      <numFmt numFmtId="13" formatCode="0%"/>
    </dxf>
    <dxf>
      <numFmt numFmtId="2" formatCode="0.00"/>
    </dxf>
    <dxf>
      <numFmt numFmtId="165"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Analysis.xlsx]Relationship btwn disc%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Relationship</a:t>
            </a:r>
            <a:r>
              <a:rPr lang="en-US" b="1" baseline="0">
                <a:solidFill>
                  <a:schemeClr val="tx1"/>
                </a:solidFill>
              </a:rPr>
              <a:t> between Discount Percentage and Number of Reviews</a:t>
            </a: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ln w="28575" cap="rnd">
            <a:solidFill>
              <a:schemeClr val="accent2"/>
            </a:solidFill>
            <a:round/>
          </a:ln>
          <a:effectLst/>
        </c:spPr>
        <c:marker>
          <c:symbol val="none"/>
        </c:marker>
      </c:pivotFmt>
    </c:pivotFmts>
    <c:plotArea>
      <c:layout/>
      <c:lineChart>
        <c:grouping val="standard"/>
        <c:varyColors val="0"/>
        <c:ser>
          <c:idx val="0"/>
          <c:order val="0"/>
          <c:tx>
            <c:strRef>
              <c:f>'Relationship btwn disc% '!$B$3</c:f>
              <c:strCache>
                <c:ptCount val="1"/>
                <c:pt idx="0">
                  <c:v>Total</c:v>
                </c:pt>
              </c:strCache>
            </c:strRef>
          </c:tx>
          <c:spPr>
            <a:ln w="28575" cap="rnd">
              <a:solidFill>
                <a:schemeClr val="accent2"/>
              </a:solidFill>
              <a:round/>
            </a:ln>
            <a:effectLst/>
          </c:spPr>
          <c:marker>
            <c:symbol val="none"/>
          </c:marker>
          <c:cat>
            <c:strRef>
              <c:f>'Relationship btwn disc% '!$A$4:$A$11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'Relationship btwn disc% '!$B$4:$B$11</c:f>
              <c:numCache>
                <c:formatCode>General</c:formatCode>
                <c:ptCount val="7"/>
                <c:pt idx="0">
                  <c:v>13</c:v>
                </c:pt>
                <c:pt idx="1">
                  <c:v>7</c:v>
                </c:pt>
                <c:pt idx="2">
                  <c:v>12</c:v>
                </c:pt>
                <c:pt idx="3">
                  <c:v>20</c:v>
                </c:pt>
                <c:pt idx="4">
                  <c:v>48</c:v>
                </c:pt>
                <c:pt idx="5">
                  <c:v>11</c:v>
                </c:pt>
                <c:pt idx="6">
                  <c:v>1</c:v>
                </c:pt>
              </c:numCache>
            </c:numRef>
          </c:val>
          <c:smooth val="0"/>
          <c:extLst>
            <c:ext xmlns:c16="http://schemas.microsoft.com/office/drawing/2014/chart" uri="{C3380CC4-5D6E-409C-BE32-E72D297353CC}">
              <c16:uniqueId val="{00000000-AD98-40E4-A3E8-EEC1EFFF67AD}"/>
            </c:ext>
          </c:extLst>
        </c:ser>
        <c:dLbls>
          <c:showLegendKey val="0"/>
          <c:showVal val="0"/>
          <c:showCatName val="0"/>
          <c:showSerName val="0"/>
          <c:showPercent val="0"/>
          <c:showBubbleSize val="0"/>
        </c:dLbls>
        <c:smooth val="0"/>
        <c:axId val="1634556704"/>
        <c:axId val="1634557536"/>
      </c:lineChart>
      <c:catAx>
        <c:axId val="163455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7536"/>
        <c:crosses val="autoZero"/>
        <c:auto val="1"/>
        <c:lblAlgn val="ctr"/>
        <c:lblOffset val="100"/>
        <c:noMultiLvlLbl val="0"/>
      </c:catAx>
      <c:valAx>
        <c:axId val="16345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Analysis.xlsx]Rship btwn rating!PivotTable4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Relationship</a:t>
            </a:r>
            <a:r>
              <a:rPr lang="en-US" b="1" baseline="0"/>
              <a:t> between Rating and Number of Reviews</a:t>
            </a:r>
            <a:endParaRPr lang="en-US" b="1"/>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pivotFmt>
    </c:pivotFmts>
    <c:plotArea>
      <c:layout/>
      <c:lineChart>
        <c:grouping val="standard"/>
        <c:varyColors val="0"/>
        <c:ser>
          <c:idx val="0"/>
          <c:order val="0"/>
          <c:tx>
            <c:strRef>
              <c:f>'Rship btwn rating'!$B$3</c:f>
              <c:strCache>
                <c:ptCount val="1"/>
                <c:pt idx="0">
                  <c:v>Total</c:v>
                </c:pt>
              </c:strCache>
            </c:strRef>
          </c:tx>
          <c:spPr>
            <a:ln w="28575" cap="rnd">
              <a:solidFill>
                <a:schemeClr val="accent2"/>
              </a:solidFill>
              <a:round/>
            </a:ln>
            <a:effectLst/>
          </c:spPr>
          <c:marker>
            <c:symbol val="none"/>
          </c:marker>
          <c:cat>
            <c:strRef>
              <c:f>'Rship btwn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'Rship btwn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extLst>
            <c:ext xmlns:c16="http://schemas.microsoft.com/office/drawing/2014/chart" uri="{C3380CC4-5D6E-409C-BE32-E72D297353CC}">
              <c16:uniqueId val="{00000000-A7D7-41A7-A931-C66FFD975165}"/>
            </c:ext>
          </c:extLst>
        </c:ser>
        <c:dLbls>
          <c:showLegendKey val="0"/>
          <c:showVal val="0"/>
          <c:showCatName val="0"/>
          <c:showSerName val="0"/>
          <c:showPercent val="0"/>
          <c:showBubbleSize val="0"/>
        </c:dLbls>
        <c:smooth val="0"/>
        <c:axId val="1674490656"/>
        <c:axId val="1674487328"/>
      </c:lineChart>
      <c:catAx>
        <c:axId val="167449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7328"/>
        <c:crosses val="autoZero"/>
        <c:auto val="1"/>
        <c:lblAlgn val="ctr"/>
        <c:lblOffset val="100"/>
        <c:noMultiLvlLbl val="0"/>
      </c:catAx>
      <c:valAx>
        <c:axId val="167448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9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Analysis.xlsx]Disc vs Customer Engagement!PivotTable5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Customer Engagements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'Disc vs Customer Engagement'!$B$3</c:f>
              <c:strCache>
                <c:ptCount val="1"/>
                <c:pt idx="0">
                  <c:v>Total</c:v>
                </c:pt>
              </c:strCache>
            </c:strRef>
          </c:tx>
          <c:spPr>
            <a:solidFill>
              <a:schemeClr val="accent2"/>
            </a:solidFill>
            <a:ln>
              <a:noFill/>
            </a:ln>
            <a:effectLst/>
          </c:spPr>
          <c:invertIfNegative val="0"/>
          <c:cat>
            <c:strRef>
              <c:f>'Disc vs Customer Engagement'!$A$4:$A$16</c:f>
              <c:strCache>
                <c:ptCount val="12"/>
                <c:pt idx="0">
                  <c:v>24-223</c:v>
                </c:pt>
                <c:pt idx="1">
                  <c:v>224-423</c:v>
                </c:pt>
                <c:pt idx="2">
                  <c:v>424-623</c:v>
                </c:pt>
                <c:pt idx="3">
                  <c:v>624-823</c:v>
                </c:pt>
                <c:pt idx="4">
                  <c:v>824-1023</c:v>
                </c:pt>
                <c:pt idx="5">
                  <c:v>1024-1223</c:v>
                </c:pt>
                <c:pt idx="6">
                  <c:v>1224-1423</c:v>
                </c:pt>
                <c:pt idx="7">
                  <c:v>1424-1623</c:v>
                </c:pt>
                <c:pt idx="8">
                  <c:v>1624-1823</c:v>
                </c:pt>
                <c:pt idx="9">
                  <c:v>1824-2023</c:v>
                </c:pt>
                <c:pt idx="10">
                  <c:v>2224-2423</c:v>
                </c:pt>
                <c:pt idx="11">
                  <c:v>2424-2623</c:v>
                </c:pt>
              </c:strCache>
            </c:strRef>
          </c:cat>
          <c:val>
            <c:numRef>
              <c:f>'Disc vs Customer Engagement'!$B$4:$B$16</c:f>
              <c:numCache>
                <c:formatCode>General</c:formatCode>
                <c:ptCount val="12"/>
                <c:pt idx="0">
                  <c:v>38</c:v>
                </c:pt>
                <c:pt idx="1">
                  <c:v>174</c:v>
                </c:pt>
                <c:pt idx="2">
                  <c:v>186</c:v>
                </c:pt>
                <c:pt idx="3">
                  <c:v>190</c:v>
                </c:pt>
                <c:pt idx="4">
                  <c:v>80</c:v>
                </c:pt>
                <c:pt idx="5">
                  <c:v>1</c:v>
                </c:pt>
                <c:pt idx="6">
                  <c:v>12</c:v>
                </c:pt>
                <c:pt idx="7">
                  <c:v>5</c:v>
                </c:pt>
                <c:pt idx="8">
                  <c:v>9</c:v>
                </c:pt>
                <c:pt idx="9">
                  <c:v>3</c:v>
                </c:pt>
                <c:pt idx="10">
                  <c:v>5</c:v>
                </c:pt>
                <c:pt idx="11">
                  <c:v>20</c:v>
                </c:pt>
              </c:numCache>
            </c:numRef>
          </c:val>
          <c:extLst>
            <c:ext xmlns:c16="http://schemas.microsoft.com/office/drawing/2014/chart" uri="{C3380CC4-5D6E-409C-BE32-E72D297353CC}">
              <c16:uniqueId val="{00000000-3A95-4C46-8F72-E08A6BEC5048}"/>
            </c:ext>
          </c:extLst>
        </c:ser>
        <c:dLbls>
          <c:showLegendKey val="0"/>
          <c:showVal val="0"/>
          <c:showCatName val="0"/>
          <c:showSerName val="0"/>
          <c:showPercent val="0"/>
          <c:showBubbleSize val="0"/>
        </c:dLbls>
        <c:gapWidth val="219"/>
        <c:overlap val="-27"/>
        <c:axId val="1671496976"/>
        <c:axId val="1671492816"/>
      </c:barChart>
      <c:catAx>
        <c:axId val="16714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92816"/>
        <c:crosses val="autoZero"/>
        <c:auto val="1"/>
        <c:lblAlgn val="ctr"/>
        <c:lblOffset val="100"/>
        <c:noMultiLvlLbl val="0"/>
      </c:catAx>
      <c:valAx>
        <c:axId val="16714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Analysis.xlsx]High rated products vs reviews!PivotTable6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Reviews vs Rating Category</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'High rated products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FF-457B-9F67-BDEF6E1E9B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FF-457B-9F67-BDEF6E1E9B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FF-457B-9F67-BDEF6E1E9B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FF-457B-9F67-BDEF6E1E9B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0E-49C6-AD2A-89B7B09030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 rated products vs reviews'!$A$4:$A$9</c:f>
              <c:strCache>
                <c:ptCount val="5"/>
                <c:pt idx="0">
                  <c:v>Average</c:v>
                </c:pt>
                <c:pt idx="1">
                  <c:v>Excellent</c:v>
                </c:pt>
                <c:pt idx="2">
                  <c:v>N/A</c:v>
                </c:pt>
                <c:pt idx="3">
                  <c:v>Poor</c:v>
                </c:pt>
                <c:pt idx="4">
                  <c:v>(blank)</c:v>
                </c:pt>
              </c:strCache>
            </c:strRef>
          </c:cat>
          <c:val>
            <c:numRef>
              <c:f>'High rated products vs reviews'!$B$4:$B$9</c:f>
              <c:numCache>
                <c:formatCode>General</c:formatCode>
                <c:ptCount val="5"/>
                <c:pt idx="0">
                  <c:v>223</c:v>
                </c:pt>
                <c:pt idx="1">
                  <c:v>331</c:v>
                </c:pt>
                <c:pt idx="2">
                  <c:v>0</c:v>
                </c:pt>
                <c:pt idx="3">
                  <c:v>169</c:v>
                </c:pt>
              </c:numCache>
            </c:numRef>
          </c:val>
          <c:extLst>
            <c:ext xmlns:c16="http://schemas.microsoft.com/office/drawing/2014/chart" uri="{C3380CC4-5D6E-409C-BE32-E72D297353CC}">
              <c16:uniqueId val="{00000000-31E6-44A1-B8F6-FD90841C46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disc!PivotTable2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10 Products with</a:t>
            </a:r>
            <a:r>
              <a:rPr lang="en-US" baseline="0">
                <a:solidFill>
                  <a:schemeClr val="tx1"/>
                </a:solidFill>
              </a:rPr>
              <a:t> Highest Discounts</a:t>
            </a:r>
            <a:endParaRPr lang="en-US">
              <a:solidFill>
                <a:schemeClr val="tx1"/>
              </a:solidFill>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bar"/>
        <c:grouping val="clustered"/>
        <c:varyColors val="0"/>
        <c:ser>
          <c:idx val="0"/>
          <c:order val="0"/>
          <c:tx>
            <c:strRef>
              <c:f>'Top 10 disc'!$B$3</c:f>
              <c:strCache>
                <c:ptCount val="1"/>
                <c:pt idx="0">
                  <c:v>Total</c:v>
                </c:pt>
              </c:strCache>
            </c:strRef>
          </c:tx>
          <c:spPr>
            <a:solidFill>
              <a:schemeClr val="accent2"/>
            </a:solidFill>
            <a:ln>
              <a:noFill/>
            </a:ln>
            <a:effectLst/>
          </c:spPr>
          <c:invertIfNegative val="0"/>
          <c:cat>
            <c:strRef>
              <c:f>'Top 10 disc'!$A$4:$A$14</c:f>
              <c:strCache>
                <c:ptCount val="10"/>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5-PCS Stainless Steel Cooking Pot Set With Steamed Slices</c:v>
                </c:pt>
                <c:pt idx="5">
                  <c:v>LASA FOLDING TABLE SERVING STAND</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strCache>
            </c:strRef>
          </c:cat>
          <c:val>
            <c:numRef>
              <c:f>'Top 10 disc'!$B$4:$B$14</c:f>
              <c:numCache>
                <c:formatCode>0%</c:formatCode>
                <c:ptCount val="10"/>
                <c:pt idx="0">
                  <c:v>1.0950138026224983</c:v>
                </c:pt>
                <c:pt idx="1">
                  <c:v>1.0002430555555555</c:v>
                </c:pt>
                <c:pt idx="2">
                  <c:v>0.98001531985397583</c:v>
                </c:pt>
                <c:pt idx="3">
                  <c:v>0.64014466546112114</c:v>
                </c:pt>
                <c:pt idx="4">
                  <c:v>0.55000000000000004</c:v>
                </c:pt>
                <c:pt idx="5">
                  <c:v>0.54500000000000004</c:v>
                </c:pt>
                <c:pt idx="6">
                  <c:v>0.54488888888888887</c:v>
                </c:pt>
                <c:pt idx="7">
                  <c:v>0.53549695740365111</c:v>
                </c:pt>
                <c:pt idx="8">
                  <c:v>0.52500000000000002</c:v>
                </c:pt>
                <c:pt idx="9">
                  <c:v>0.52500000000000002</c:v>
                </c:pt>
              </c:numCache>
            </c:numRef>
          </c:val>
          <c:extLst>
            <c:ext xmlns:c16="http://schemas.microsoft.com/office/drawing/2014/chart" uri="{C3380CC4-5D6E-409C-BE32-E72D297353CC}">
              <c16:uniqueId val="{00000000-BF71-4D61-AF98-19FAD4DEB444}"/>
            </c:ext>
          </c:extLst>
        </c:ser>
        <c:dLbls>
          <c:showLegendKey val="0"/>
          <c:showVal val="0"/>
          <c:showCatName val="0"/>
          <c:showSerName val="0"/>
          <c:showPercent val="0"/>
          <c:showBubbleSize val="0"/>
        </c:dLbls>
        <c:gapWidth val="182"/>
        <c:axId val="1028155919"/>
        <c:axId val="1325000783"/>
      </c:barChart>
      <c:catAx>
        <c:axId val="102815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00783"/>
        <c:crosses val="autoZero"/>
        <c:auto val="1"/>
        <c:lblAlgn val="ctr"/>
        <c:lblOffset val="100"/>
        <c:noMultiLvlLbl val="0"/>
      </c:catAx>
      <c:valAx>
        <c:axId val="1325000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5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by reviews!PivotTable1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Product by Reviews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'Top 10 by reviews'!$B$3</c:f>
              <c:strCache>
                <c:ptCount val="1"/>
                <c:pt idx="0">
                  <c:v>Total</c:v>
                </c:pt>
              </c:strCache>
            </c:strRef>
          </c:tx>
          <c:spPr>
            <a:solidFill>
              <a:schemeClr val="accent2"/>
            </a:solidFill>
            <a:ln>
              <a:noFill/>
            </a:ln>
            <a:effectLst/>
          </c:spPr>
          <c:invertIfNegative val="0"/>
          <c:cat>
            <c:strRef>
              <c:f>'Top 10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10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502-418B-BC3F-4544E4A8ECC9}"/>
            </c:ext>
          </c:extLst>
        </c:ser>
        <c:dLbls>
          <c:showLegendKey val="0"/>
          <c:showVal val="0"/>
          <c:showCatName val="0"/>
          <c:showSerName val="0"/>
          <c:showPercent val="0"/>
          <c:showBubbleSize val="0"/>
        </c:dLbls>
        <c:gapWidth val="219"/>
        <c:overlap val="-27"/>
        <c:axId val="1204965951"/>
        <c:axId val="1204967615"/>
      </c:barChart>
      <c:catAx>
        <c:axId val="12049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67615"/>
        <c:crosses val="autoZero"/>
        <c:auto val="1"/>
        <c:lblAlgn val="ctr"/>
        <c:lblOffset val="100"/>
        <c:noMultiLvlLbl val="0"/>
      </c:catAx>
      <c:valAx>
        <c:axId val="120496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6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Rating!PivotTable2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Products by Rating</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'Top 10 Rating'!$B$3</c:f>
              <c:strCache>
                <c:ptCount val="1"/>
                <c:pt idx="0">
                  <c:v>Total</c:v>
                </c:pt>
              </c:strCache>
            </c:strRef>
          </c:tx>
          <c:spPr>
            <a:solidFill>
              <a:schemeClr val="accent2"/>
            </a:solidFill>
            <a:ln>
              <a:noFill/>
            </a:ln>
            <a:effectLst/>
          </c:spPr>
          <c:invertIfNegative val="0"/>
          <c:cat>
            <c:strRef>
              <c:f>'Top 10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10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8741-4A32-A7DE-0066D9010B7C}"/>
            </c:ext>
          </c:extLst>
        </c:ser>
        <c:dLbls>
          <c:showLegendKey val="0"/>
          <c:showVal val="0"/>
          <c:showCatName val="0"/>
          <c:showSerName val="0"/>
          <c:showPercent val="0"/>
          <c:showBubbleSize val="0"/>
        </c:dLbls>
        <c:gapWidth val="219"/>
        <c:overlap val="-27"/>
        <c:axId val="1023278431"/>
        <c:axId val="1023271359"/>
      </c:barChart>
      <c:catAx>
        <c:axId val="10232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1359"/>
        <c:crosses val="autoZero"/>
        <c:auto val="1"/>
        <c:lblAlgn val="ctr"/>
        <c:lblOffset val="100"/>
        <c:noMultiLvlLbl val="0"/>
      </c:catAx>
      <c:valAx>
        <c:axId val="102327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Rating!PivotTable2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Products by Rating</a:t>
            </a: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'Top 10 Rating'!$B$3</c:f>
              <c:strCache>
                <c:ptCount val="1"/>
                <c:pt idx="0">
                  <c:v>Total</c:v>
                </c:pt>
              </c:strCache>
            </c:strRef>
          </c:tx>
          <c:spPr>
            <a:solidFill>
              <a:schemeClr val="accent2"/>
            </a:solidFill>
            <a:ln>
              <a:noFill/>
            </a:ln>
            <a:effectLst/>
          </c:spPr>
          <c:invertIfNegative val="0"/>
          <c:cat>
            <c:strRef>
              <c:f>'Top 10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10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794-4F8E-AA27-C7CCA122E483}"/>
            </c:ext>
          </c:extLst>
        </c:ser>
        <c:dLbls>
          <c:showLegendKey val="0"/>
          <c:showVal val="0"/>
          <c:showCatName val="0"/>
          <c:showSerName val="0"/>
          <c:showPercent val="0"/>
          <c:showBubbleSize val="0"/>
        </c:dLbls>
        <c:gapWidth val="219"/>
        <c:overlap val="-27"/>
        <c:axId val="1023278431"/>
        <c:axId val="1023271359"/>
      </c:barChart>
      <c:catAx>
        <c:axId val="10232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1359"/>
        <c:crosses val="autoZero"/>
        <c:auto val="1"/>
        <c:lblAlgn val="ctr"/>
        <c:lblOffset val="100"/>
        <c:noMultiLvlLbl val="0"/>
      </c:catAx>
      <c:valAx>
        <c:axId val="102327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84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by reviews!PivotTable1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Product by Reviews</a:t>
            </a: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clustered"/>
        <c:varyColors val="0"/>
        <c:ser>
          <c:idx val="0"/>
          <c:order val="0"/>
          <c:tx>
            <c:strRef>
              <c:f>'Top 10 by reviews'!$B$3</c:f>
              <c:strCache>
                <c:ptCount val="1"/>
                <c:pt idx="0">
                  <c:v>Total</c:v>
                </c:pt>
              </c:strCache>
            </c:strRef>
          </c:tx>
          <c:spPr>
            <a:solidFill>
              <a:schemeClr val="accent2"/>
            </a:solidFill>
            <a:ln>
              <a:noFill/>
            </a:ln>
            <a:effectLst/>
          </c:spPr>
          <c:invertIfNegative val="0"/>
          <c:cat>
            <c:strRef>
              <c:f>'Top 10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10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6EF6-48E5-84E6-2A317AF5202D}"/>
            </c:ext>
          </c:extLst>
        </c:ser>
        <c:dLbls>
          <c:showLegendKey val="0"/>
          <c:showVal val="0"/>
          <c:showCatName val="0"/>
          <c:showSerName val="0"/>
          <c:showPercent val="0"/>
          <c:showBubbleSize val="0"/>
        </c:dLbls>
        <c:gapWidth val="219"/>
        <c:overlap val="-27"/>
        <c:axId val="1204965951"/>
        <c:axId val="1204967615"/>
      </c:barChart>
      <c:catAx>
        <c:axId val="12049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67615"/>
        <c:crosses val="autoZero"/>
        <c:auto val="1"/>
        <c:lblAlgn val="ctr"/>
        <c:lblOffset val="100"/>
        <c:noMultiLvlLbl val="0"/>
      </c:catAx>
      <c:valAx>
        <c:axId val="120496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6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Analysis.xlsx]Top 10 disc!PivotTable2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10 Products with</a:t>
            </a:r>
            <a:r>
              <a:rPr lang="en-US" baseline="0">
                <a:solidFill>
                  <a:schemeClr val="tx1"/>
                </a:solidFill>
              </a:rPr>
              <a:t> Highest Discounts</a:t>
            </a:r>
            <a:endParaRPr lang="en-US">
              <a:solidFill>
                <a:schemeClr val="tx1"/>
              </a:solidFill>
            </a:endParaRP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'Top 10 disc'!$B$3</c:f>
              <c:strCache>
                <c:ptCount val="1"/>
                <c:pt idx="0">
                  <c:v>Total</c:v>
                </c:pt>
              </c:strCache>
            </c:strRef>
          </c:tx>
          <c:spPr>
            <a:solidFill>
              <a:schemeClr val="accent2"/>
            </a:solidFill>
            <a:ln>
              <a:noFill/>
            </a:ln>
            <a:effectLst/>
          </c:spPr>
          <c:invertIfNegative val="0"/>
          <c:cat>
            <c:strRef>
              <c:f>'Top 10 disc'!$A$4:$A$14</c:f>
              <c:strCache>
                <c:ptCount val="10"/>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5-PCS Stainless Steel Cooking Pot Set With Steamed Slices</c:v>
                </c:pt>
                <c:pt idx="5">
                  <c:v>LASA FOLDING TABLE SERVING STAND</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strCache>
            </c:strRef>
          </c:cat>
          <c:val>
            <c:numRef>
              <c:f>'Top 10 disc'!$B$4:$B$14</c:f>
              <c:numCache>
                <c:formatCode>0%</c:formatCode>
                <c:ptCount val="10"/>
                <c:pt idx="0">
                  <c:v>1.0950138026224983</c:v>
                </c:pt>
                <c:pt idx="1">
                  <c:v>1.0002430555555555</c:v>
                </c:pt>
                <c:pt idx="2">
                  <c:v>0.98001531985397583</c:v>
                </c:pt>
                <c:pt idx="3">
                  <c:v>0.64014466546112114</c:v>
                </c:pt>
                <c:pt idx="4">
                  <c:v>0.55000000000000004</c:v>
                </c:pt>
                <c:pt idx="5">
                  <c:v>0.54500000000000004</c:v>
                </c:pt>
                <c:pt idx="6">
                  <c:v>0.54488888888888887</c:v>
                </c:pt>
                <c:pt idx="7">
                  <c:v>0.53549695740365111</c:v>
                </c:pt>
                <c:pt idx="8">
                  <c:v>0.52500000000000002</c:v>
                </c:pt>
                <c:pt idx="9">
                  <c:v>0.52500000000000002</c:v>
                </c:pt>
              </c:numCache>
            </c:numRef>
          </c:val>
          <c:extLst>
            <c:ext xmlns:c16="http://schemas.microsoft.com/office/drawing/2014/chart" uri="{C3380CC4-5D6E-409C-BE32-E72D297353CC}">
              <c16:uniqueId val="{00000000-ABDB-4C14-BC80-8C965978BCCF}"/>
            </c:ext>
          </c:extLst>
        </c:ser>
        <c:dLbls>
          <c:showLegendKey val="0"/>
          <c:showVal val="0"/>
          <c:showCatName val="0"/>
          <c:showSerName val="0"/>
          <c:showPercent val="0"/>
          <c:showBubbleSize val="0"/>
        </c:dLbls>
        <c:gapWidth val="182"/>
        <c:axId val="1028155919"/>
        <c:axId val="1325000783"/>
      </c:barChart>
      <c:catAx>
        <c:axId val="102815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00783"/>
        <c:crosses val="autoZero"/>
        <c:auto val="1"/>
        <c:lblAlgn val="ctr"/>
        <c:lblOffset val="100"/>
        <c:noMultiLvlLbl val="0"/>
      </c:catAx>
      <c:valAx>
        <c:axId val="1325000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55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Analysis.xlsx]High rated products vs reviews!PivotTable6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Reviews vs Rating Category</a:t>
            </a: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'High rated products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1A-42B9-89D8-6AF0BE9A0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1A-42B9-89D8-6AF0BE9A0A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1A-42B9-89D8-6AF0BE9A0A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1A-42B9-89D8-6AF0BE9A0A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8A-408A-8487-FB42AA06B918}"/>
              </c:ext>
            </c:extLst>
          </c:dPt>
          <c:dLbls>
            <c:delete val="1"/>
          </c:dLbls>
          <c:cat>
            <c:strRef>
              <c:f>'High rated products vs reviews'!$A$4:$A$9</c:f>
              <c:strCache>
                <c:ptCount val="5"/>
                <c:pt idx="0">
                  <c:v>Average</c:v>
                </c:pt>
                <c:pt idx="1">
                  <c:v>Excellent</c:v>
                </c:pt>
                <c:pt idx="2">
                  <c:v>N/A</c:v>
                </c:pt>
                <c:pt idx="3">
                  <c:v>Poor</c:v>
                </c:pt>
                <c:pt idx="4">
                  <c:v>(blank)</c:v>
                </c:pt>
              </c:strCache>
            </c:strRef>
          </c:cat>
          <c:val>
            <c:numRef>
              <c:f>'High rated products vs reviews'!$B$4:$B$9</c:f>
              <c:numCache>
                <c:formatCode>General</c:formatCode>
                <c:ptCount val="5"/>
                <c:pt idx="0">
                  <c:v>223</c:v>
                </c:pt>
                <c:pt idx="1">
                  <c:v>331</c:v>
                </c:pt>
                <c:pt idx="2">
                  <c:v>0</c:v>
                </c:pt>
                <c:pt idx="3">
                  <c:v>169</c:v>
                </c:pt>
              </c:numCache>
            </c:numRef>
          </c:val>
          <c:extLst>
            <c:ext xmlns:c16="http://schemas.microsoft.com/office/drawing/2014/chart" uri="{C3380CC4-5D6E-409C-BE32-E72D297353CC}">
              <c16:uniqueId val="{00000008-011A-42B9-89D8-6AF0BE9A0A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Analysis.xlsx]Disc vs Customer Engagement!PivotTable5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Customer Engagements</a:t>
            </a: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'Disc vs Customer Engagement'!$B$3</c:f>
              <c:strCache>
                <c:ptCount val="1"/>
                <c:pt idx="0">
                  <c:v>Total</c:v>
                </c:pt>
              </c:strCache>
            </c:strRef>
          </c:tx>
          <c:spPr>
            <a:solidFill>
              <a:schemeClr val="accent2"/>
            </a:solidFill>
            <a:ln>
              <a:noFill/>
            </a:ln>
            <a:effectLst/>
          </c:spPr>
          <c:invertIfNegative val="0"/>
          <c:cat>
            <c:strRef>
              <c:f>'Disc vs Customer Engagement'!$A$4:$A$16</c:f>
              <c:strCache>
                <c:ptCount val="12"/>
                <c:pt idx="0">
                  <c:v>24-223</c:v>
                </c:pt>
                <c:pt idx="1">
                  <c:v>224-423</c:v>
                </c:pt>
                <c:pt idx="2">
                  <c:v>424-623</c:v>
                </c:pt>
                <c:pt idx="3">
                  <c:v>624-823</c:v>
                </c:pt>
                <c:pt idx="4">
                  <c:v>824-1023</c:v>
                </c:pt>
                <c:pt idx="5">
                  <c:v>1024-1223</c:v>
                </c:pt>
                <c:pt idx="6">
                  <c:v>1224-1423</c:v>
                </c:pt>
                <c:pt idx="7">
                  <c:v>1424-1623</c:v>
                </c:pt>
                <c:pt idx="8">
                  <c:v>1624-1823</c:v>
                </c:pt>
                <c:pt idx="9">
                  <c:v>1824-2023</c:v>
                </c:pt>
                <c:pt idx="10">
                  <c:v>2224-2423</c:v>
                </c:pt>
                <c:pt idx="11">
                  <c:v>2424-2623</c:v>
                </c:pt>
              </c:strCache>
            </c:strRef>
          </c:cat>
          <c:val>
            <c:numRef>
              <c:f>'Disc vs Customer Engagement'!$B$4:$B$16</c:f>
              <c:numCache>
                <c:formatCode>General</c:formatCode>
                <c:ptCount val="12"/>
                <c:pt idx="0">
                  <c:v>38</c:v>
                </c:pt>
                <c:pt idx="1">
                  <c:v>174</c:v>
                </c:pt>
                <c:pt idx="2">
                  <c:v>186</c:v>
                </c:pt>
                <c:pt idx="3">
                  <c:v>190</c:v>
                </c:pt>
                <c:pt idx="4">
                  <c:v>80</c:v>
                </c:pt>
                <c:pt idx="5">
                  <c:v>1</c:v>
                </c:pt>
                <c:pt idx="6">
                  <c:v>12</c:v>
                </c:pt>
                <c:pt idx="7">
                  <c:v>5</c:v>
                </c:pt>
                <c:pt idx="8">
                  <c:v>9</c:v>
                </c:pt>
                <c:pt idx="9">
                  <c:v>3</c:v>
                </c:pt>
                <c:pt idx="10">
                  <c:v>5</c:v>
                </c:pt>
                <c:pt idx="11">
                  <c:v>20</c:v>
                </c:pt>
              </c:numCache>
            </c:numRef>
          </c:val>
          <c:extLst>
            <c:ext xmlns:c16="http://schemas.microsoft.com/office/drawing/2014/chart" uri="{C3380CC4-5D6E-409C-BE32-E72D297353CC}">
              <c16:uniqueId val="{00000000-8AAB-4495-BD32-5E437A7BE34B}"/>
            </c:ext>
          </c:extLst>
        </c:ser>
        <c:dLbls>
          <c:showLegendKey val="0"/>
          <c:showVal val="0"/>
          <c:showCatName val="0"/>
          <c:showSerName val="0"/>
          <c:showPercent val="0"/>
          <c:showBubbleSize val="0"/>
        </c:dLbls>
        <c:gapWidth val="219"/>
        <c:overlap val="-27"/>
        <c:axId val="1671496976"/>
        <c:axId val="1671492816"/>
      </c:barChart>
      <c:catAx>
        <c:axId val="16714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92816"/>
        <c:crosses val="autoZero"/>
        <c:auto val="1"/>
        <c:lblAlgn val="ctr"/>
        <c:lblOffset val="100"/>
        <c:noMultiLvlLbl val="0"/>
      </c:catAx>
      <c:valAx>
        <c:axId val="16714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96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Analysis.xlsx]Rship btwn rating!PivotTable4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Relationship</a:t>
            </a:r>
            <a:r>
              <a:rPr lang="en-US" b="1" baseline="0"/>
              <a:t> between Rating and Number of Reviews</a:t>
            </a:r>
            <a:endParaRPr lang="en-US" b="1"/>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'Rship btwn rating'!$B$3</c:f>
              <c:strCache>
                <c:ptCount val="1"/>
                <c:pt idx="0">
                  <c:v>Total</c:v>
                </c:pt>
              </c:strCache>
            </c:strRef>
          </c:tx>
          <c:spPr>
            <a:ln w="28575" cap="rnd">
              <a:solidFill>
                <a:schemeClr val="accent1"/>
              </a:solidFill>
              <a:round/>
            </a:ln>
            <a:effectLst/>
          </c:spPr>
          <c:marker>
            <c:symbol val="none"/>
          </c:marker>
          <c:cat>
            <c:strRef>
              <c:f>'Rship btwn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'Rship btwn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extLst>
            <c:ext xmlns:c16="http://schemas.microsoft.com/office/drawing/2014/chart" uri="{C3380CC4-5D6E-409C-BE32-E72D297353CC}">
              <c16:uniqueId val="{00000000-152C-4153-8F9F-06F28498DEE1}"/>
            </c:ext>
          </c:extLst>
        </c:ser>
        <c:dLbls>
          <c:showLegendKey val="0"/>
          <c:showVal val="0"/>
          <c:showCatName val="0"/>
          <c:showSerName val="0"/>
          <c:showPercent val="0"/>
          <c:showBubbleSize val="0"/>
        </c:dLbls>
        <c:smooth val="0"/>
        <c:axId val="1674490656"/>
        <c:axId val="1674487328"/>
      </c:lineChart>
      <c:catAx>
        <c:axId val="167449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7328"/>
        <c:crosses val="autoZero"/>
        <c:auto val="1"/>
        <c:lblAlgn val="ctr"/>
        <c:lblOffset val="100"/>
        <c:noMultiLvlLbl val="0"/>
      </c:catAx>
      <c:valAx>
        <c:axId val="167448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90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Performance Analysis.xlsx]Relationship btwn disc%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Relationship</a:t>
            </a:r>
            <a:r>
              <a:rPr lang="en-US" b="1" baseline="0">
                <a:solidFill>
                  <a:schemeClr val="tx1"/>
                </a:solidFill>
              </a:rPr>
              <a:t> between Discount Percentage and Number of Reviews</a:t>
            </a:r>
          </a:p>
        </c:rich>
      </c:tx>
      <c:layout/>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w="28575" cap="rnd">
            <a:solidFill>
              <a:schemeClr val="accent2"/>
            </a:solidFill>
            <a:round/>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'Relationship btwn disc% '!$B$3</c:f>
              <c:strCache>
                <c:ptCount val="1"/>
                <c:pt idx="0">
                  <c:v>Total</c:v>
                </c:pt>
              </c:strCache>
            </c:strRef>
          </c:tx>
          <c:spPr>
            <a:ln w="28575" cap="rnd">
              <a:solidFill>
                <a:schemeClr val="accent2"/>
              </a:solidFill>
              <a:round/>
            </a:ln>
            <a:effectLst/>
          </c:spPr>
          <c:marker>
            <c:symbol val="none"/>
          </c:marker>
          <c:cat>
            <c:strRef>
              <c:f>'Relationship btwn disc% '!$A$4:$A$11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'Relationship btwn disc% '!$B$4:$B$11</c:f>
              <c:numCache>
                <c:formatCode>General</c:formatCode>
                <c:ptCount val="7"/>
                <c:pt idx="0">
                  <c:v>13</c:v>
                </c:pt>
                <c:pt idx="1">
                  <c:v>7</c:v>
                </c:pt>
                <c:pt idx="2">
                  <c:v>12</c:v>
                </c:pt>
                <c:pt idx="3">
                  <c:v>20</c:v>
                </c:pt>
                <c:pt idx="4">
                  <c:v>48</c:v>
                </c:pt>
                <c:pt idx="5">
                  <c:v>11</c:v>
                </c:pt>
                <c:pt idx="6">
                  <c:v>1</c:v>
                </c:pt>
              </c:numCache>
            </c:numRef>
          </c:val>
          <c:smooth val="0"/>
          <c:extLst>
            <c:ext xmlns:c16="http://schemas.microsoft.com/office/drawing/2014/chart" uri="{C3380CC4-5D6E-409C-BE32-E72D297353CC}">
              <c16:uniqueId val="{00000000-C5BA-4F43-9C7A-2745AEE7E953}"/>
            </c:ext>
          </c:extLst>
        </c:ser>
        <c:dLbls>
          <c:showLegendKey val="0"/>
          <c:showVal val="0"/>
          <c:showCatName val="0"/>
          <c:showSerName val="0"/>
          <c:showPercent val="0"/>
          <c:showBubbleSize val="0"/>
        </c:dLbls>
        <c:smooth val="0"/>
        <c:axId val="1634556704"/>
        <c:axId val="1634557536"/>
      </c:lineChart>
      <c:catAx>
        <c:axId val="163455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7536"/>
        <c:crosses val="autoZero"/>
        <c:auto val="1"/>
        <c:lblAlgn val="ctr"/>
        <c:lblOffset val="100"/>
        <c:noMultiLvlLbl val="0"/>
      </c:catAx>
      <c:valAx>
        <c:axId val="16345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6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330200</xdr:colOff>
      <xdr:row>1</xdr:row>
      <xdr:rowOff>158750</xdr:rowOff>
    </xdr:from>
    <xdr:to>
      <xdr:col>6</xdr:col>
      <xdr:colOff>330200</xdr:colOff>
      <xdr:row>8</xdr:row>
      <xdr:rowOff>57149</xdr:rowOff>
    </xdr:to>
    <mc:AlternateContent xmlns:mc="http://schemas.openxmlformats.org/markup-compatibility/2006" xmlns:a14="http://schemas.microsoft.com/office/drawing/2010/main">
      <mc:Choice Requires="a14">
        <xdr:graphicFrame macro="">
          <xdr:nvGraphicFramePr>
            <xdr:cNvPr id="2"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4267200" y="342900"/>
              <a:ext cx="1828800" cy="1187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234950</xdr:colOff>
      <xdr:row>1</xdr:row>
      <xdr:rowOff>114300</xdr:rowOff>
    </xdr:from>
    <xdr:to>
      <xdr:col>2</xdr:col>
      <xdr:colOff>2063750</xdr:colOff>
      <xdr:row>9</xdr:row>
      <xdr:rowOff>82550</xdr:rowOff>
    </xdr:to>
    <mc:AlternateContent xmlns:mc="http://schemas.openxmlformats.org/markup-compatibility/2006" xmlns:a14="http://schemas.microsoft.com/office/drawing/2010/main">
      <mc:Choice Requires="a14">
        <xdr:graphicFrame macro="">
          <xdr:nvGraphicFramePr>
            <xdr:cNvPr id="3"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165350" y="298450"/>
              <a:ext cx="1828800" cy="1441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79375</xdr:colOff>
      <xdr:row>12</xdr:row>
      <xdr:rowOff>28574</xdr:rowOff>
    </xdr:from>
    <xdr:to>
      <xdr:col>3</xdr:col>
      <xdr:colOff>434975</xdr:colOff>
      <xdr:row>30</xdr:row>
      <xdr:rowOff>146049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238125</xdr:colOff>
      <xdr:row>28</xdr:row>
      <xdr:rowOff>180975</xdr:rowOff>
    </xdr:from>
    <xdr:to>
      <xdr:col>6</xdr:col>
      <xdr:colOff>523875</xdr:colOff>
      <xdr:row>43</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73024</xdr:colOff>
      <xdr:row>20</xdr:row>
      <xdr:rowOff>111124</xdr:rowOff>
    </xdr:from>
    <xdr:to>
      <xdr:col>7</xdr:col>
      <xdr:colOff>584199</xdr:colOff>
      <xdr:row>37</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298450</xdr:colOff>
      <xdr:row>1</xdr:row>
      <xdr:rowOff>38100</xdr:rowOff>
    </xdr:from>
    <xdr:to>
      <xdr:col>5</xdr:col>
      <xdr:colOff>298450</xdr:colOff>
      <xdr:row>19</xdr:row>
      <xdr:rowOff>152400</xdr:rowOff>
    </xdr:to>
    <mc:AlternateContent xmlns:mc="http://schemas.openxmlformats.org/markup-compatibility/2006" xmlns:a14="http://schemas.microsoft.com/office/drawing/2010/main">
      <mc:Choice Requires="a14">
        <xdr:graphicFrame macro="">
          <xdr:nvGraphicFramePr>
            <xdr:cNvPr id="3" name="Discount Amount"/>
            <xdr:cNvGraphicFramePr/>
          </xdr:nvGraphicFramePr>
          <xdr:xfrm>
            <a:off x="0" y="0"/>
            <a:ext cx="0" cy="0"/>
          </xdr:xfrm>
          <a:graphic>
            <a:graphicData uri="http://schemas.microsoft.com/office/drawing/2010/slicer">
              <sle:slicer xmlns:sle="http://schemas.microsoft.com/office/drawing/2010/slicer" name="Discount Amount"/>
            </a:graphicData>
          </a:graphic>
        </xdr:graphicFrame>
      </mc:Choice>
      <mc:Fallback xmlns="">
        <xdr:sp macro="" textlink="">
          <xdr:nvSpPr>
            <xdr:cNvPr id="0" name=""/>
            <xdr:cNvSpPr>
              <a:spLocks noTextEdit="1"/>
            </xdr:cNvSpPr>
          </xdr:nvSpPr>
          <xdr:spPr>
            <a:xfrm>
              <a:off x="2146300" y="222250"/>
              <a:ext cx="1828800" cy="342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669925</xdr:colOff>
      <xdr:row>10</xdr:row>
      <xdr:rowOff>15875</xdr:rowOff>
    </xdr:from>
    <xdr:to>
      <xdr:col>7</xdr:col>
      <xdr:colOff>244475</xdr:colOff>
      <xdr:row>24</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771525</xdr:colOff>
      <xdr:row>14</xdr:row>
      <xdr:rowOff>174625</xdr:rowOff>
    </xdr:from>
    <xdr:to>
      <xdr:col>1</xdr:col>
      <xdr:colOff>485775</xdr:colOff>
      <xdr:row>29</xdr:row>
      <xdr:rowOff>155575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422275</xdr:colOff>
      <xdr:row>15</xdr:row>
      <xdr:rowOff>9525</xdr:rowOff>
    </xdr:from>
    <xdr:to>
      <xdr:col>1</xdr:col>
      <xdr:colOff>701675</xdr:colOff>
      <xdr:row>29</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460375</xdr:colOff>
      <xdr:row>15</xdr:row>
      <xdr:rowOff>92075</xdr:rowOff>
    </xdr:from>
    <xdr:to>
      <xdr:col>1</xdr:col>
      <xdr:colOff>530225</xdr:colOff>
      <xdr:row>30</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342900</xdr:colOff>
      <xdr:row>0</xdr:row>
      <xdr:rowOff>19050</xdr:rowOff>
    </xdr:from>
    <xdr:to>
      <xdr:col>17</xdr:col>
      <xdr:colOff>323850</xdr:colOff>
      <xdr:row>3</xdr:row>
      <xdr:rowOff>120650</xdr:rowOff>
    </xdr:to>
    <xdr:sp macro="" textlink="">
      <xdr:nvSpPr>
        <xdr:cNvPr id="2" name="Rounded Rectangle 1"/>
        <xdr:cNvSpPr/>
      </xdr:nvSpPr>
      <xdr:spPr>
        <a:xfrm>
          <a:off x="4000500" y="19050"/>
          <a:ext cx="6686550" cy="6540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latin typeface="Times New Roman" panose="02020603050405020304" pitchFamily="18" charset="0"/>
              <a:cs typeface="Times New Roman" panose="02020603050405020304" pitchFamily="18" charset="0"/>
            </a:rPr>
            <a:t>Jumia</a:t>
          </a:r>
          <a:r>
            <a:rPr lang="en-US" sz="2800" b="1" baseline="0">
              <a:solidFill>
                <a:schemeClr val="tx1"/>
              </a:solidFill>
              <a:latin typeface="Times New Roman" panose="02020603050405020304" pitchFamily="18" charset="0"/>
              <a:cs typeface="Times New Roman" panose="02020603050405020304" pitchFamily="18" charset="0"/>
            </a:rPr>
            <a:t> Product Performance Dashboard</a:t>
          </a:r>
          <a:endParaRPr lang="en-US" sz="2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273050</xdr:colOff>
      <xdr:row>5</xdr:row>
      <xdr:rowOff>139700</xdr:rowOff>
    </xdr:from>
    <xdr:to>
      <xdr:col>8</xdr:col>
      <xdr:colOff>82550</xdr:colOff>
      <xdr:row>9</xdr:row>
      <xdr:rowOff>165100</xdr:rowOff>
    </xdr:to>
    <xdr:sp macro="" textlink="">
      <xdr:nvSpPr>
        <xdr:cNvPr id="3" name="Rounded Rectangle 2"/>
        <xdr:cNvSpPr/>
      </xdr:nvSpPr>
      <xdr:spPr>
        <a:xfrm>
          <a:off x="2711450" y="1060450"/>
          <a:ext cx="2247900" cy="76200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Total</a:t>
          </a:r>
          <a:r>
            <a:rPr lang="en-US" sz="1800" b="1" baseline="0">
              <a:solidFill>
                <a:schemeClr val="tx1"/>
              </a:solidFill>
              <a:latin typeface="Times New Roman" panose="02020603050405020304" pitchFamily="18" charset="0"/>
              <a:cs typeface="Times New Roman" panose="02020603050405020304" pitchFamily="18" charset="0"/>
            </a:rPr>
            <a:t> Products </a:t>
          </a:r>
        </a:p>
        <a:p>
          <a:pPr algn="ctr"/>
          <a:r>
            <a:rPr lang="en-US" sz="1800" b="1" baseline="0">
              <a:solidFill>
                <a:schemeClr val="tx1"/>
              </a:solidFill>
              <a:latin typeface="Times New Roman" panose="02020603050405020304" pitchFamily="18" charset="0"/>
              <a:cs typeface="Times New Roman" panose="02020603050405020304" pitchFamily="18" charset="0"/>
            </a:rPr>
            <a:t>112</a:t>
          </a:r>
          <a:endParaRPr lang="en-US"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323850</xdr:colOff>
      <xdr:row>5</xdr:row>
      <xdr:rowOff>139700</xdr:rowOff>
    </xdr:from>
    <xdr:to>
      <xdr:col>11</xdr:col>
      <xdr:colOff>577850</xdr:colOff>
      <xdr:row>10</xdr:row>
      <xdr:rowOff>19050</xdr:rowOff>
    </xdr:to>
    <xdr:sp macro="" textlink="">
      <xdr:nvSpPr>
        <xdr:cNvPr id="4" name="Rounded Rectangle 3"/>
        <xdr:cNvSpPr/>
      </xdr:nvSpPr>
      <xdr:spPr>
        <a:xfrm>
          <a:off x="5200650" y="1060450"/>
          <a:ext cx="2082800" cy="80010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Average</a:t>
          </a:r>
          <a:r>
            <a:rPr lang="en-US" sz="2000" b="1" baseline="0">
              <a:solidFill>
                <a:schemeClr val="tx1"/>
              </a:solidFill>
              <a:latin typeface="Times New Roman" panose="02020603050405020304" pitchFamily="18" charset="0"/>
              <a:cs typeface="Times New Roman" panose="02020603050405020304" pitchFamily="18" charset="0"/>
            </a:rPr>
            <a:t> Rating</a:t>
          </a:r>
        </a:p>
        <a:p>
          <a:pPr algn="ctr"/>
          <a:r>
            <a:rPr lang="en-US" sz="2000" b="1" baseline="0">
              <a:solidFill>
                <a:schemeClr val="tx1"/>
              </a:solidFill>
              <a:latin typeface="Times New Roman" panose="02020603050405020304" pitchFamily="18" charset="0"/>
              <a:cs typeface="Times New Roman" panose="02020603050405020304" pitchFamily="18" charset="0"/>
            </a:rPr>
            <a:t>3.89</a:t>
          </a:r>
          <a:endParaRPr lang="en-US" sz="2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146050</xdr:colOff>
      <xdr:row>5</xdr:row>
      <xdr:rowOff>127000</xdr:rowOff>
    </xdr:from>
    <xdr:to>
      <xdr:col>18</xdr:col>
      <xdr:colOff>228600</xdr:colOff>
      <xdr:row>10</xdr:row>
      <xdr:rowOff>38100</xdr:rowOff>
    </xdr:to>
    <xdr:sp macro="" textlink="">
      <xdr:nvSpPr>
        <xdr:cNvPr id="5" name="Rounded Rectangle 4"/>
        <xdr:cNvSpPr/>
      </xdr:nvSpPr>
      <xdr:spPr>
        <a:xfrm>
          <a:off x="7461250" y="1047750"/>
          <a:ext cx="3740150" cy="8318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Average</a:t>
          </a:r>
          <a:r>
            <a:rPr lang="en-US" sz="2000" b="1" baseline="0">
              <a:solidFill>
                <a:schemeClr val="tx1"/>
              </a:solidFill>
              <a:latin typeface="Times New Roman" panose="02020603050405020304" pitchFamily="18" charset="0"/>
              <a:cs typeface="Times New Roman" panose="02020603050405020304" pitchFamily="18" charset="0"/>
            </a:rPr>
            <a:t> Discount Percentage</a:t>
          </a:r>
        </a:p>
        <a:p>
          <a:pPr algn="ctr"/>
          <a:r>
            <a:rPr lang="en-US" sz="2000" b="1" baseline="0">
              <a:solidFill>
                <a:schemeClr val="tx1"/>
              </a:solidFill>
              <a:latin typeface="Times New Roman" panose="02020603050405020304" pitchFamily="18" charset="0"/>
              <a:cs typeface="Times New Roman" panose="02020603050405020304" pitchFamily="18" charset="0"/>
            </a:rPr>
            <a:t>36.71%</a:t>
          </a:r>
          <a:endParaRPr lang="en-US" sz="2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444500</xdr:colOff>
      <xdr:row>5</xdr:row>
      <xdr:rowOff>139700</xdr:rowOff>
    </xdr:from>
    <xdr:to>
      <xdr:col>22</xdr:col>
      <xdr:colOff>393700</xdr:colOff>
      <xdr:row>10</xdr:row>
      <xdr:rowOff>50800</xdr:rowOff>
    </xdr:to>
    <xdr:sp macro="" textlink="">
      <xdr:nvSpPr>
        <xdr:cNvPr id="6" name="Rounded Rectangle 5"/>
        <xdr:cNvSpPr/>
      </xdr:nvSpPr>
      <xdr:spPr>
        <a:xfrm>
          <a:off x="11417300" y="1060450"/>
          <a:ext cx="2387600" cy="8318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Times New Roman" panose="02020603050405020304" pitchFamily="18" charset="0"/>
              <a:cs typeface="Times New Roman" panose="02020603050405020304" pitchFamily="18" charset="0"/>
            </a:rPr>
            <a:t>Total Reviews</a:t>
          </a:r>
        </a:p>
        <a:p>
          <a:pPr algn="ctr"/>
          <a:r>
            <a:rPr lang="en-US" sz="2000" b="1">
              <a:solidFill>
                <a:schemeClr val="tx1"/>
              </a:solidFill>
              <a:latin typeface="Times New Roman" panose="02020603050405020304" pitchFamily="18" charset="0"/>
              <a:cs typeface="Times New Roman" panose="02020603050405020304" pitchFamily="18" charset="0"/>
            </a:rPr>
            <a:t>723</a:t>
          </a:r>
        </a:p>
      </xdr:txBody>
    </xdr:sp>
    <xdr:clientData/>
  </xdr:twoCellAnchor>
  <xdr:twoCellAnchor>
    <xdr:from>
      <xdr:col>4</xdr:col>
      <xdr:colOff>0</xdr:colOff>
      <xdr:row>11</xdr:row>
      <xdr:rowOff>0</xdr:rowOff>
    </xdr:from>
    <xdr:to>
      <xdr:col>11</xdr:col>
      <xdr:colOff>354949</xdr:colOff>
      <xdr:row>26</xdr:row>
      <xdr:rowOff>56661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11</xdr:row>
      <xdr:rowOff>0</xdr:rowOff>
    </xdr:from>
    <xdr:to>
      <xdr:col>19</xdr:col>
      <xdr:colOff>354949</xdr:colOff>
      <xdr:row>26</xdr:row>
      <xdr:rowOff>56661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11</xdr:row>
      <xdr:rowOff>0</xdr:rowOff>
    </xdr:from>
    <xdr:to>
      <xdr:col>27</xdr:col>
      <xdr:colOff>354949</xdr:colOff>
      <xdr:row>26</xdr:row>
      <xdr:rowOff>56661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27</xdr:row>
      <xdr:rowOff>0</xdr:rowOff>
    </xdr:from>
    <xdr:to>
      <xdr:col>11</xdr:col>
      <xdr:colOff>341923</xdr:colOff>
      <xdr:row>42</xdr:row>
      <xdr:rowOff>56661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27</xdr:row>
      <xdr:rowOff>0</xdr:rowOff>
    </xdr:from>
    <xdr:to>
      <xdr:col>19</xdr:col>
      <xdr:colOff>358206</xdr:colOff>
      <xdr:row>42</xdr:row>
      <xdr:rowOff>65128</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27</xdr:row>
      <xdr:rowOff>0</xdr:rowOff>
    </xdr:from>
    <xdr:to>
      <xdr:col>27</xdr:col>
      <xdr:colOff>354949</xdr:colOff>
      <xdr:row>42</xdr:row>
      <xdr:rowOff>56661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43</xdr:row>
      <xdr:rowOff>0</xdr:rowOff>
    </xdr:from>
    <xdr:to>
      <xdr:col>11</xdr:col>
      <xdr:colOff>354949</xdr:colOff>
      <xdr:row>62</xdr:row>
      <xdr:rowOff>29226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0</xdr:rowOff>
    </xdr:from>
    <xdr:to>
      <xdr:col>3</xdr:col>
      <xdr:colOff>374486</xdr:colOff>
      <xdr:row>13</xdr:row>
      <xdr:rowOff>162821</xdr:rowOff>
    </xdr:to>
    <mc:AlternateContent xmlns:mc="http://schemas.openxmlformats.org/markup-compatibility/2006" xmlns:a14="http://schemas.microsoft.com/office/drawing/2010/main">
      <mc:Choice Requires="a14">
        <xdr:graphicFrame macro="">
          <xdr:nvGraphicFramePr>
            <xdr:cNvPr id="20"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1134894"/>
              <a:ext cx="2198422" cy="1486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xdr:rowOff>
    </xdr:from>
    <xdr:to>
      <xdr:col>3</xdr:col>
      <xdr:colOff>358204</xdr:colOff>
      <xdr:row>21</xdr:row>
      <xdr:rowOff>65129</xdr:rowOff>
    </xdr:to>
    <mc:AlternateContent xmlns:mc="http://schemas.openxmlformats.org/markup-compatibility/2006" xmlns:a14="http://schemas.microsoft.com/office/drawing/2010/main">
      <mc:Choice Requires="a14">
        <xdr:graphicFrame macro="">
          <xdr:nvGraphicFramePr>
            <xdr:cNvPr id="21"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2837235"/>
              <a:ext cx="2182140" cy="1200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049.672363888887" createdVersion="6" refreshedVersion="6" minRefreshableVersion="3" recordCount="116">
  <cacheSource type="worksheet">
    <worksheetSource ref="A1:J113" sheet="excel_jumia_original"/>
  </cacheSource>
  <cacheFields count="11">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Balloon Insert, Birthday Party Balloon Set, PU Leather"/>
        <s v="Creative Owl Shape Keychain Black"/>
        <s v="Simple Metal Dog Art Sculpture Decoration For Home Office"/>
        <s v="Angle Measuring Tool Full Metal Multi Angle Measuring Tool"/>
        <s v="6 Layers Steel Pipe Assembling Dustproof Storage Shoe Cabinet"/>
        <m/>
      </sharedItems>
    </cacheField>
    <cacheField name="Current price" numFmtId="164">
      <sharedItems containsString="0" containsBlank="1" containsNumber="1" minValue="38" maxValue="3750"/>
    </cacheField>
    <cacheField name="old price" numFmtId="164">
      <sharedItems containsString="0" containsBlank="1" containsNumber="1" minValue="80" maxValue="6143"/>
    </cacheField>
    <cacheField name="Discount Amount" numFmtId="164">
      <sharedItems containsString="0" containsBlank="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37"/>
        <n v="1001"/>
        <n v="595"/>
        <n v="645"/>
        <n v="750"/>
        <n v="301"/>
        <n v="39"/>
        <n v="85"/>
        <n v="40"/>
        <n v="544"/>
        <n v="644"/>
        <n v="1011"/>
        <n v="330"/>
        <n v="528"/>
        <n v="2585"/>
        <n v="428"/>
        <n v="355"/>
        <n v="335"/>
        <n v="824"/>
        <n v="1000"/>
        <n v="2393"/>
        <n v="318"/>
        <n v="940"/>
        <n v="257"/>
        <n v="390"/>
        <n v="846"/>
        <n v="1418"/>
        <n v="695"/>
        <n v="67"/>
        <n v="220"/>
        <n v="1010"/>
        <n v="941"/>
        <n v="830"/>
        <n v="33"/>
        <n v="317"/>
        <n v="233"/>
        <n v="263"/>
        <n v="101"/>
        <n v="231"/>
        <n v="850"/>
        <n v="1200"/>
        <n v="95"/>
        <n v="134"/>
        <n v="153"/>
        <n v="504"/>
        <n v="794"/>
        <n v="948"/>
        <n v="24"/>
        <n v="62"/>
        <n v="587"/>
        <n v="620"/>
        <n v="41"/>
        <n v="31"/>
        <n v="354"/>
        <n v="450"/>
        <n v="151"/>
        <n v="305"/>
        <n v="401"/>
        <n v="768"/>
        <n v="497"/>
        <n v="169"/>
        <n v="631"/>
        <n v="800"/>
        <m/>
      </sharedItems>
      <fieldGroup base="3">
        <rangePr startNum="24" endNum="2585" groupInterval="200"/>
        <groupItems count="15">
          <s v="(blank)"/>
          <s v="24-223"/>
          <s v="224-423"/>
          <s v="424-623"/>
          <s v="624-823"/>
          <s v="824-1023"/>
          <s v="1024-1223"/>
          <s v="1224-1423"/>
          <s v="1424-1623"/>
          <s v="1624-1823"/>
          <s v="1824-2023"/>
          <s v="2024-2223"/>
          <s v="2224-2423"/>
          <s v="2424-2623"/>
          <s v="&gt;2624"/>
        </groupItems>
      </fieldGroup>
    </cacheField>
    <cacheField name="Discount" numFmtId="0">
      <sharedItems containsString="0" containsBlank="1" containsNumber="1" minValue="0.01" maxValue="0.64"/>
    </cacheField>
    <cacheField name="Discount2" numFmtId="0">
      <sharedItems containsString="0" containsBlank="1" containsNumber="1" minValue="1.2638230647709321E-2" maxValue="0.64014466546112114" count="107">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1.705855232826187E-2"/>
        <n v="0.50049999999999994"/>
        <n v="0.49012158054711247"/>
        <n v="0.38461538461538464"/>
        <n v="0.50166666666666671"/>
        <n v="2.2954679223072396E-2"/>
        <n v="0.22135416666666666"/>
        <n v="2.6684456304202801E-2"/>
        <n v="0.4050632911392405"/>
        <n v="0.47952345495160087"/>
        <n v="0.26535433070866143"/>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13713949381989404"/>
        <n v="0.48975791433891991"/>
        <n v="0.11222222222222222"/>
        <n v="0.13596233078281342"/>
        <n v="0.42727272727272725"/>
        <n v="0.48"/>
        <n v="0.47499999999999998"/>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n v="0.42452830188679247"/>
        <n v="0.60515873015873012"/>
        <n v="0.44555555555555554"/>
        <n v="0.49010848755583919"/>
        <n v="0.5546875"/>
        <n v="0.48985507246376814"/>
        <n v="0.48990683229813664"/>
        <n v="0.47086521483225424"/>
        <m/>
        <n v="0.36714123251752778"/>
      </sharedItems>
      <fieldGroup base="5">
        <rangePr startNum="1.2638230647709321E-2" endNum="0.64014466546112114" groupInterval="0.1"/>
        <groupItems count="9">
          <s v="(blank)"/>
          <s v="0.0126382306477093-0.112638230647709"/>
          <s v="0.112638230647709-0.212638230647709"/>
          <s v="0.212638230647709-0.312638230647709"/>
          <s v="0.312638230647709-0.412638230647709"/>
          <s v="0.412638230647709-0.512638230647709"/>
          <s v="0.512638230647709-0.612638230647709"/>
          <s v="0.612638230647709-0.712638230647709"/>
          <s v="&gt;0.712638230647709"/>
        </groupItems>
      </fieldGroup>
    </cacheField>
    <cacheField name="Discount Category" numFmtId="0">
      <sharedItems containsBlank="1" count="4">
        <s v="Medium Discount"/>
        <s v="High Discount"/>
        <s v="Low Discount"/>
        <m/>
      </sharedItems>
    </cacheField>
    <cacheField name="Review" numFmtId="0">
      <sharedItems containsString="0" containsBlank="1" containsNumber="1" containsInteger="1" minValue="-69" maxValue="-1"/>
    </cacheField>
    <cacheField name="Review2"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 numFmtId="2">
      <sharedItems containsMixedTypes="1" containsNumber="1" minValue="2" maxValue="5" count="24">
        <n v="4.5"/>
        <n v="4.0999999999999996"/>
        <n v="4.5999999999999996"/>
        <n v="4.7"/>
        <n v="4.8"/>
        <n v="4"/>
        <n v="3.8"/>
        <n v="4.2"/>
        <n v="5"/>
        <n v="3.3"/>
        <s v="Not Provided"/>
        <n v="4.4000000000000004"/>
        <n v="4.3"/>
        <n v="2.5"/>
        <n v="3"/>
        <n v="2.1"/>
        <n v="2.8"/>
        <n v="2.7"/>
        <n v="2.9"/>
        <n v="2.2000000000000002"/>
        <n v="2.2999999999999998"/>
        <n v="2.6"/>
        <n v="2"/>
        <n v="3.8894736842105258"/>
      </sharedItems>
    </cacheField>
    <cacheField name="Rating Category" numFmtId="0">
      <sharedItems containsBlank="1" count="5">
        <s v="Excellent"/>
        <s v="Average"/>
        <s v="N/A"/>
        <s v="Poor"/>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053.582293865744" createdVersion="6" refreshedVersion="6" minRefreshableVersion="3" recordCount="113">
  <cacheSource type="worksheet">
    <worksheetSource ref="A1:J114" sheet="excel_jumia_original"/>
  </cacheSource>
  <cacheFields count="10">
    <cacheField name="Product" numFmtId="0">
      <sharedItems containsBlank="1" count="110">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Balloon Insert, Birthday Party Balloon Set, PU Leather"/>
        <s v="Creative Owl Shape Keychain Black"/>
        <s v="Simple Metal Dog Art Sculpture Decoration For Home Office"/>
        <s v="Angle Measuring Tool Full Metal Multi Angle Measuring Tool"/>
        <s v="6 Layers Steel Pipe Assembling Dustproof Storage Shoe Cabinet"/>
        <s v="Anti-Skid Absorbent Insulation Coaster  For Home Office"/>
        <s v="Peacock  Throw Pillow Cushion Case For Home Car"/>
        <s v="LASA Aluminum Folding Truck Hand Cart - 68kg Max"/>
        <s v="DIY File Folder, Office Drawer File Holder, Pen Holder, Desktop Storage Rack"/>
        <s v="Classic Black Cat Cotton Hemp Pillow Case For Home Car"/>
        <s v="Bedroom Simple Floor Hanging Clothes Rack Single Pole Hat Rack - White"/>
        <s v="Konka Healty Electric Kettle, 24-hour Heat Preservation,1.5L,800W, White"/>
        <s v="Portable Home Small Air Humidifier 3-Speed Fan - Green"/>
        <s v="LASA FOLDING TABLE SERVING STAND"/>
        <s v="40cm Gold DIY Acrylic Wall Sticker Clock"/>
        <s v="Weighing Scale Digital Bathroom Body Fat Scale USB-Black"/>
        <s v="100 Pcs Crochet Hook Tool Set Knitting Hook Set With Box"/>
        <s v="12 Litre Insulated Lunch Box Grey"/>
        <s v="53Pcs/Set Yarn Knitting Crochet Hooks With Bag - Fortune Cat"/>
        <s v="Portable Mini Cordless Car Vacuum Cleaner - Blue"/>
        <s v="137 Pieces Cake Decorating Tool Set Baking Supplies"/>
        <s v="LED Wall Digital Alarm Clock Study Home 12 / 24H Clock Calendar"/>
        <s v="3D Waterproof EVA Plastic Shower Curtain 1.8*2Mtrs"/>
        <s v="Electronic Digital Display Vernier Caliper"/>
        <s v="115  Piece Set Of Multifunctional Precision Screwdrivers"/>
        <s v="LASA Digital Thermometer And Hydrometer"/>
        <s v="53 Pieces/Set Yarn Knitting Crochet Hooks With Bag - Pansies"/>
        <s v="1/2/3 Seater Elastic Sofa Cover,Living Room/Home Decor Chair Cover-Grey"/>
        <s v="Foldable Overbed Table/Desk"/>
        <s v="LASA 3 Tier Bamboo Shoe Bench Storage Shelf"/>
        <s v="Exfoliate And Exfoliate Face Towel - Black"/>
        <s v="LED Eye Protection  Desk Lamp , Study, Reading, USB Fan - Double Pen Holder"/>
        <s v="Punch-free Great Load Bearing Bathroom Storage Rack Wall Shelf-White"/>
        <s v="Multifunction Laser Level With Adjustment Tripod"/>
        <s v="Metal Decorative Hooks Key Hangers Entryway Wall Hooks Towel Hooks - Home"/>
        <s v="Genebre 115 In 1 Screwdriver Repairing Tool Set For IPhone Cellphone Hand Tool"/>
        <s v="52 Pieces Cake Decorating Tool Set Gift Kit Baking Supplies"/>
        <s v="220V 60W Electric Soldering Iron Kits With Tools, Tips, And Multimeter"/>
        <s v="Desk Foldable Fan Adjustable Fan Strong Wind 3 Gear Usb"/>
        <s v="LED Romantic Spaceship Starry Sky Projector,Children's Bedroom Night Light-Blue"/>
        <s v="Household Pineapple Peeler Peeler"/>
        <s v="13 In 1 Home Repair Tools Box Kit Set"/>
        <s v="Portable Wardrobe Nonwoven With 3 Hanging Rods And 6 Storage Shelves"/>
        <s v="12 Litre Black Insulated Lunch Box"/>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m/>
      </sharedItems>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Amount" numFmtId="164">
      <sharedItems containsString="0" containsBlank="1" containsNumber="1" containsInteger="1" minValue="24" maxValue="2585" count="104">
        <n v="1360"/>
        <n v="1880"/>
        <n v="1721"/>
        <n v="456"/>
        <n v="238"/>
        <n v="37"/>
        <n v="1001"/>
        <n v="595"/>
        <n v="645"/>
        <n v="750"/>
        <n v="301"/>
        <n v="39"/>
        <n v="85"/>
        <n v="40"/>
        <n v="544"/>
        <n v="644"/>
        <n v="1011"/>
        <n v="695"/>
        <n v="510"/>
        <n v="67"/>
        <n v="220"/>
        <n v="830"/>
        <n v="33"/>
        <n v="233"/>
        <n v="263"/>
        <n v="101"/>
        <n v="231"/>
        <n v="470"/>
        <n v="850"/>
        <n v="1200"/>
        <n v="95"/>
        <n v="134"/>
        <n v="153"/>
        <n v="504"/>
        <n v="794"/>
        <n v="1000"/>
        <n v="24"/>
        <n v="62"/>
        <n v="587"/>
        <n v="620"/>
        <n v="41"/>
        <n v="31"/>
        <n v="354"/>
        <n v="151"/>
        <n v="450"/>
        <n v="305"/>
        <n v="401"/>
        <n v="768"/>
        <n v="497"/>
        <n v="169"/>
        <n v="631"/>
        <n v="800"/>
        <n v="352"/>
        <n v="165"/>
        <n v="1946"/>
        <n v="1070"/>
        <n v="189"/>
        <n v="941"/>
        <n v="948"/>
        <n v="616"/>
        <n v="1526"/>
        <n v="483"/>
        <n v="919"/>
        <n v="710"/>
        <n v="724"/>
        <n v="713"/>
        <n v="700"/>
        <n v="968"/>
        <n v="227"/>
        <n v="575"/>
        <n v="359"/>
        <n v="719"/>
        <n v="900"/>
        <n v="500"/>
        <n v="2452"/>
        <n v="197"/>
        <n v="1670"/>
        <n v="267"/>
        <n v="819"/>
        <n v="472"/>
        <n v="200"/>
        <n v="741"/>
        <n v="291"/>
        <n v="592"/>
        <n v="317"/>
        <n v="1329"/>
        <n v="640"/>
        <n v="42"/>
        <n v="528"/>
        <n v="2393"/>
        <n v="940"/>
        <n v="390"/>
        <n v="1010"/>
        <n v="335"/>
        <n v="428"/>
        <n v="355"/>
        <n v="318"/>
        <n v="330"/>
        <n v="257"/>
        <n v="824"/>
        <n v="846"/>
        <n v="2585"/>
        <n v="1418"/>
        <m/>
      </sharedItems>
    </cacheField>
    <cacheField name="Discount" numFmtId="10">
      <sharedItems containsSemiMixedTypes="0" containsString="0" containsNumber="1" minValue="1.2638230647709321E-2" maxValue="0.64014466546112114"/>
    </cacheField>
    <cacheField name="Discount Category" numFmtId="10">
      <sharedItems/>
    </cacheField>
    <cacheField name="Review" numFmtId="0">
      <sharedItems containsString="0" containsBlank="1" containsNumber="1" containsInteger="1" minValue="-69" maxValue="-1"/>
    </cacheField>
    <cacheField name="Review2" numFmtId="0">
      <sharedItems containsSemiMixedTypes="0" containsString="0" containsNumber="1" containsInteger="1" minValue="0" maxValue="723"/>
    </cacheField>
    <cacheField name="Rating" numFmtId="2">
      <sharedItems containsSemiMixedTypes="0" containsString="0" containsNumber="1" minValue="2" maxValue="5"/>
    </cacheField>
    <cacheField name="Rating 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6">
  <r>
    <x v="0"/>
    <n v="950"/>
    <n v="1525"/>
    <x v="0"/>
    <n v="0.38"/>
    <x v="0"/>
    <x v="0"/>
    <n v="-2"/>
    <x v="0"/>
    <x v="0"/>
    <x v="0"/>
  </r>
  <r>
    <x v="1"/>
    <n v="527"/>
    <n v="999"/>
    <x v="1"/>
    <n v="0.47"/>
    <x v="1"/>
    <x v="1"/>
    <n v="-14"/>
    <x v="1"/>
    <x v="1"/>
    <x v="1"/>
  </r>
  <r>
    <x v="2"/>
    <n v="2199"/>
    <n v="2923"/>
    <x v="2"/>
    <n v="0.25"/>
    <x v="2"/>
    <x v="0"/>
    <n v="-24"/>
    <x v="2"/>
    <x v="2"/>
    <x v="0"/>
  </r>
  <r>
    <x v="3"/>
    <n v="1580"/>
    <n v="2499"/>
    <x v="3"/>
    <n v="0.37"/>
    <x v="3"/>
    <x v="0"/>
    <n v="-7"/>
    <x v="3"/>
    <x v="3"/>
    <x v="0"/>
  </r>
  <r>
    <x v="4"/>
    <n v="1740"/>
    <n v="2356"/>
    <x v="4"/>
    <n v="0.26"/>
    <x v="4"/>
    <x v="0"/>
    <n v="-5"/>
    <x v="4"/>
    <x v="4"/>
    <x v="0"/>
  </r>
  <r>
    <x v="5"/>
    <n v="2999"/>
    <n v="3290"/>
    <x v="5"/>
    <n v="0.09"/>
    <x v="5"/>
    <x v="2"/>
    <n v="-15"/>
    <x v="5"/>
    <x v="5"/>
    <x v="1"/>
  </r>
  <r>
    <x v="6"/>
    <n v="2319"/>
    <n v="3032"/>
    <x v="6"/>
    <n v="0.24"/>
    <x v="6"/>
    <x v="0"/>
    <n v="-55"/>
    <x v="6"/>
    <x v="2"/>
    <x v="0"/>
  </r>
  <r>
    <x v="7"/>
    <n v="988"/>
    <n v="1580"/>
    <x v="7"/>
    <n v="0.37"/>
    <x v="7"/>
    <x v="0"/>
    <n v="-2"/>
    <x v="0"/>
    <x v="5"/>
    <x v="1"/>
  </r>
  <r>
    <x v="8"/>
    <n v="1274"/>
    <n v="2800"/>
    <x v="8"/>
    <n v="0.55000000000000004"/>
    <x v="8"/>
    <x v="1"/>
    <n v="-5"/>
    <x v="4"/>
    <x v="4"/>
    <x v="0"/>
  </r>
  <r>
    <x v="9"/>
    <n v="1600"/>
    <n v="2929"/>
    <x v="9"/>
    <n v="0.45"/>
    <x v="9"/>
    <x v="1"/>
    <n v="-5"/>
    <x v="4"/>
    <x v="6"/>
    <x v="1"/>
  </r>
  <r>
    <x v="10"/>
    <n v="799"/>
    <n v="999"/>
    <x v="10"/>
    <n v="0.2"/>
    <x v="10"/>
    <x v="0"/>
    <n v="-12"/>
    <x v="7"/>
    <x v="1"/>
    <x v="1"/>
  </r>
  <r>
    <x v="11"/>
    <n v="990"/>
    <n v="1500"/>
    <x v="11"/>
    <n v="0.34"/>
    <x v="11"/>
    <x v="0"/>
    <n v="-39"/>
    <x v="8"/>
    <x v="3"/>
    <x v="0"/>
  </r>
  <r>
    <x v="12"/>
    <n v="552"/>
    <n v="1035"/>
    <x v="12"/>
    <n v="0.47"/>
    <x v="12"/>
    <x v="1"/>
    <n v="-12"/>
    <x v="7"/>
    <x v="4"/>
    <x v="0"/>
  </r>
  <r>
    <x v="13"/>
    <n v="501"/>
    <n v="860"/>
    <x v="13"/>
    <n v="0.42"/>
    <x v="13"/>
    <x v="1"/>
    <n v="-6"/>
    <x v="9"/>
    <x v="0"/>
    <x v="0"/>
  </r>
  <r>
    <x v="14"/>
    <n v="1680"/>
    <n v="2499"/>
    <x v="14"/>
    <n v="0.33"/>
    <x v="14"/>
    <x v="0"/>
    <n v="-9"/>
    <x v="10"/>
    <x v="7"/>
    <x v="1"/>
  </r>
  <r>
    <x v="15"/>
    <n v="332"/>
    <n v="684"/>
    <x v="15"/>
    <n v="0.51"/>
    <x v="15"/>
    <x v="1"/>
    <n v="-2"/>
    <x v="0"/>
    <x v="8"/>
    <x v="0"/>
  </r>
  <r>
    <x v="16"/>
    <n v="195"/>
    <n v="360"/>
    <x v="16"/>
    <n v="0.46"/>
    <x v="16"/>
    <x v="1"/>
    <n v="-2"/>
    <x v="0"/>
    <x v="8"/>
    <x v="0"/>
  </r>
  <r>
    <x v="17"/>
    <n v="2025"/>
    <n v="3971"/>
    <x v="17"/>
    <n v="0.49"/>
    <x v="17"/>
    <x v="1"/>
    <n v="-3"/>
    <x v="11"/>
    <x v="8"/>
    <x v="0"/>
  </r>
  <r>
    <x v="18"/>
    <n v="2999"/>
    <n v="3699"/>
    <x v="18"/>
    <n v="0.19"/>
    <x v="18"/>
    <x v="2"/>
    <n v="-5"/>
    <x v="4"/>
    <x v="2"/>
    <x v="0"/>
  </r>
  <r>
    <x v="19"/>
    <n v="998"/>
    <n v="1966"/>
    <x v="19"/>
    <n v="0.49"/>
    <x v="19"/>
    <x v="1"/>
    <n v="-44"/>
    <x v="12"/>
    <x v="2"/>
    <x v="0"/>
  </r>
  <r>
    <x v="20"/>
    <n v="38"/>
    <n v="80"/>
    <x v="20"/>
    <n v="0.53"/>
    <x v="20"/>
    <x v="1"/>
    <n v="-13"/>
    <x v="13"/>
    <x v="9"/>
    <x v="1"/>
  </r>
  <r>
    <x v="21"/>
    <n v="1860"/>
    <n v="3220"/>
    <x v="21"/>
    <n v="0.42"/>
    <x v="21"/>
    <x v="1"/>
    <m/>
    <x v="14"/>
    <x v="10"/>
    <x v="2"/>
  </r>
  <r>
    <x v="22"/>
    <n v="880"/>
    <n v="1350"/>
    <x v="22"/>
    <n v="0.35"/>
    <x v="22"/>
    <x v="0"/>
    <n v="-6"/>
    <x v="9"/>
    <x v="5"/>
    <x v="1"/>
  </r>
  <r>
    <x v="23"/>
    <n v="1650"/>
    <n v="2150"/>
    <x v="23"/>
    <n v="0.23"/>
    <x v="23"/>
    <x v="0"/>
    <n v="-14"/>
    <x v="1"/>
    <x v="11"/>
    <x v="1"/>
  </r>
  <r>
    <x v="24"/>
    <n v="2048"/>
    <n v="4500"/>
    <x v="24"/>
    <n v="0.54"/>
    <x v="24"/>
    <x v="1"/>
    <n v="-7"/>
    <x v="3"/>
    <x v="12"/>
    <x v="1"/>
  </r>
  <r>
    <x v="25"/>
    <n v="420"/>
    <n v="647"/>
    <x v="25"/>
    <n v="0.35"/>
    <x v="25"/>
    <x v="0"/>
    <n v="-49"/>
    <x v="15"/>
    <x v="2"/>
    <x v="0"/>
  </r>
  <r>
    <x v="26"/>
    <n v="2880"/>
    <n v="3520"/>
    <x v="26"/>
    <n v="0.18"/>
    <x v="26"/>
    <x v="2"/>
    <n v="-12"/>
    <x v="7"/>
    <x v="6"/>
    <x v="1"/>
  </r>
  <r>
    <x v="27"/>
    <n v="1350"/>
    <n v="1990"/>
    <x v="26"/>
    <n v="0.32"/>
    <x v="27"/>
    <x v="0"/>
    <n v="-13"/>
    <x v="13"/>
    <x v="6"/>
    <x v="1"/>
  </r>
  <r>
    <x v="28"/>
    <n v="1758"/>
    <n v="2499"/>
    <x v="27"/>
    <n v="0.3"/>
    <x v="28"/>
    <x v="0"/>
    <n v="-20"/>
    <x v="16"/>
    <x v="1"/>
    <x v="1"/>
  </r>
  <r>
    <x v="29"/>
    <n v="2200"/>
    <n v="4080"/>
    <x v="28"/>
    <n v="0.46"/>
    <x v="29"/>
    <x v="1"/>
    <m/>
    <x v="14"/>
    <x v="10"/>
    <x v="2"/>
  </r>
  <r>
    <x v="30"/>
    <n v="185"/>
    <n v="382"/>
    <x v="29"/>
    <n v="0.52"/>
    <x v="30"/>
    <x v="1"/>
    <n v="-9"/>
    <x v="10"/>
    <x v="12"/>
    <x v="1"/>
  </r>
  <r>
    <x v="31"/>
    <n v="980"/>
    <n v="1490"/>
    <x v="11"/>
    <n v="0.34"/>
    <x v="31"/>
    <x v="0"/>
    <n v="-12"/>
    <x v="7"/>
    <x v="3"/>
    <x v="0"/>
  </r>
  <r>
    <x v="32"/>
    <n v="1820"/>
    <n v="3490"/>
    <x v="30"/>
    <n v="0.48"/>
    <x v="32"/>
    <x v="1"/>
    <n v="-9"/>
    <x v="10"/>
    <x v="12"/>
    <x v="1"/>
  </r>
  <r>
    <x v="33"/>
    <n v="1940"/>
    <n v="2650"/>
    <x v="31"/>
    <n v="0.27"/>
    <x v="33"/>
    <x v="0"/>
    <n v="-20"/>
    <x v="16"/>
    <x v="3"/>
    <x v="0"/>
  </r>
  <r>
    <x v="34"/>
    <n v="1980"/>
    <n v="2699"/>
    <x v="32"/>
    <n v="0.27"/>
    <x v="34"/>
    <x v="0"/>
    <n v="-32"/>
    <x v="17"/>
    <x v="0"/>
    <x v="0"/>
  </r>
  <r>
    <x v="35"/>
    <n v="1620"/>
    <n v="2690"/>
    <x v="33"/>
    <n v="0.4"/>
    <x v="35"/>
    <x v="0"/>
    <n v="-1"/>
    <x v="18"/>
    <x v="8"/>
    <x v="0"/>
  </r>
  <r>
    <x v="36"/>
    <n v="171"/>
    <n v="360"/>
    <x v="34"/>
    <n v="0.53"/>
    <x v="20"/>
    <x v="1"/>
    <n v="-2"/>
    <x v="0"/>
    <x v="8"/>
    <x v="0"/>
  </r>
  <r>
    <x v="37"/>
    <n v="389"/>
    <n v="656"/>
    <x v="35"/>
    <n v="0.41"/>
    <x v="36"/>
    <x v="1"/>
    <n v="-36"/>
    <x v="19"/>
    <x v="12"/>
    <x v="1"/>
  </r>
  <r>
    <x v="38"/>
    <n v="1800"/>
    <n v="2700"/>
    <x v="36"/>
    <n v="0.38"/>
    <x v="37"/>
    <x v="0"/>
    <n v="-2"/>
    <x v="0"/>
    <x v="0"/>
    <x v="0"/>
  </r>
  <r>
    <x v="39"/>
    <n v="2750"/>
    <n v="4471"/>
    <x v="37"/>
    <n v="0.38"/>
    <x v="38"/>
    <x v="0"/>
    <m/>
    <x v="14"/>
    <x v="10"/>
    <x v="2"/>
  </r>
  <r>
    <x v="40"/>
    <n v="475"/>
    <n v="931"/>
    <x v="38"/>
    <n v="0.49"/>
    <x v="39"/>
    <x v="1"/>
    <m/>
    <x v="14"/>
    <x v="10"/>
    <x v="2"/>
  </r>
  <r>
    <x v="41"/>
    <n v="238"/>
    <n v="476"/>
    <x v="39"/>
    <n v="0.5"/>
    <x v="40"/>
    <x v="1"/>
    <m/>
    <x v="14"/>
    <x v="10"/>
    <x v="2"/>
  </r>
  <r>
    <x v="42"/>
    <n v="2132"/>
    <n v="2169"/>
    <x v="40"/>
    <n v="0.02"/>
    <x v="41"/>
    <x v="2"/>
    <m/>
    <x v="14"/>
    <x v="10"/>
    <x v="2"/>
  </r>
  <r>
    <x v="43"/>
    <n v="999"/>
    <n v="2000"/>
    <x v="41"/>
    <n v="0.5"/>
    <x v="42"/>
    <x v="1"/>
    <m/>
    <x v="14"/>
    <x v="10"/>
    <x v="2"/>
  </r>
  <r>
    <x v="44"/>
    <n v="1190"/>
    <n v="1785"/>
    <x v="42"/>
    <n v="0.33"/>
    <x v="37"/>
    <x v="0"/>
    <m/>
    <x v="14"/>
    <x v="10"/>
    <x v="2"/>
  </r>
  <r>
    <x v="45"/>
    <n v="671"/>
    <n v="1316"/>
    <x v="43"/>
    <n v="0.49"/>
    <x v="43"/>
    <x v="1"/>
    <m/>
    <x v="14"/>
    <x v="10"/>
    <x v="2"/>
  </r>
  <r>
    <x v="46"/>
    <n v="1200"/>
    <n v="1950"/>
    <x v="44"/>
    <n v="0.38"/>
    <x v="44"/>
    <x v="0"/>
    <m/>
    <x v="14"/>
    <x v="10"/>
    <x v="2"/>
  </r>
  <r>
    <x v="47"/>
    <n v="299"/>
    <n v="600"/>
    <x v="45"/>
    <n v="0.5"/>
    <x v="45"/>
    <x v="1"/>
    <m/>
    <x v="14"/>
    <x v="10"/>
    <x v="2"/>
  </r>
  <r>
    <x v="48"/>
    <n v="1660"/>
    <n v="1699"/>
    <x v="46"/>
    <n v="0.02"/>
    <x v="46"/>
    <x v="2"/>
    <m/>
    <x v="14"/>
    <x v="10"/>
    <x v="2"/>
  </r>
  <r>
    <x v="49"/>
    <n v="299"/>
    <n v="384"/>
    <x v="47"/>
    <n v="0.22"/>
    <x v="47"/>
    <x v="0"/>
    <m/>
    <x v="14"/>
    <x v="10"/>
    <x v="2"/>
  </r>
  <r>
    <x v="50"/>
    <n v="1459"/>
    <n v="1499"/>
    <x v="48"/>
    <n v="0.03"/>
    <x v="48"/>
    <x v="2"/>
    <m/>
    <x v="14"/>
    <x v="10"/>
    <x v="2"/>
  </r>
  <r>
    <x v="51"/>
    <n v="799"/>
    <n v="1343"/>
    <x v="49"/>
    <n v="0.41"/>
    <x v="49"/>
    <x v="1"/>
    <m/>
    <x v="14"/>
    <x v="10"/>
    <x v="2"/>
  </r>
  <r>
    <x v="52"/>
    <n v="699"/>
    <n v="1343"/>
    <x v="50"/>
    <n v="0.48"/>
    <x v="50"/>
    <x v="1"/>
    <m/>
    <x v="14"/>
    <x v="10"/>
    <x v="2"/>
  </r>
  <r>
    <x v="53"/>
    <n v="2799"/>
    <n v="3810"/>
    <x v="51"/>
    <n v="0.27"/>
    <x v="51"/>
    <x v="0"/>
    <m/>
    <x v="14"/>
    <x v="10"/>
    <x v="2"/>
  </r>
  <r>
    <x v="54"/>
    <n v="2170"/>
    <n v="2500"/>
    <x v="52"/>
    <n v="0.13"/>
    <x v="52"/>
    <x v="2"/>
    <n v="-6"/>
    <x v="9"/>
    <x v="13"/>
    <x v="3"/>
  </r>
  <r>
    <x v="55"/>
    <n v="458"/>
    <n v="986"/>
    <x v="53"/>
    <n v="0.54"/>
    <x v="53"/>
    <x v="1"/>
    <n v="-10"/>
    <x v="20"/>
    <x v="14"/>
    <x v="1"/>
  </r>
  <r>
    <x v="56"/>
    <n v="2115"/>
    <n v="4700"/>
    <x v="54"/>
    <n v="0.55000000000000004"/>
    <x v="54"/>
    <x v="1"/>
    <n v="-13"/>
    <x v="13"/>
    <x v="15"/>
    <x v="3"/>
  </r>
  <r>
    <x v="57"/>
    <n v="445"/>
    <n v="873"/>
    <x v="55"/>
    <n v="0.49"/>
    <x v="55"/>
    <x v="1"/>
    <n v="-69"/>
    <x v="21"/>
    <x v="16"/>
    <x v="3"/>
  </r>
  <r>
    <x v="58"/>
    <n v="325"/>
    <n v="680"/>
    <x v="56"/>
    <n v="0.52"/>
    <x v="56"/>
    <x v="1"/>
    <n v="-15"/>
    <x v="5"/>
    <x v="17"/>
    <x v="3"/>
  </r>
  <r>
    <x v="59"/>
    <n v="1220"/>
    <n v="1555"/>
    <x v="57"/>
    <n v="0.22"/>
    <x v="57"/>
    <x v="0"/>
    <n v="-16"/>
    <x v="22"/>
    <x v="18"/>
    <x v="3"/>
  </r>
  <r>
    <x v="60"/>
    <n v="990"/>
    <n v="1814"/>
    <x v="58"/>
    <n v="0.45"/>
    <x v="58"/>
    <x v="1"/>
    <n v="-6"/>
    <x v="9"/>
    <x v="19"/>
    <x v="3"/>
  </r>
  <r>
    <x v="61"/>
    <n v="1000"/>
    <n v="2000"/>
    <x v="59"/>
    <n v="0.5"/>
    <x v="40"/>
    <x v="1"/>
    <n v="-7"/>
    <x v="3"/>
    <x v="20"/>
    <x v="3"/>
  </r>
  <r>
    <x v="62"/>
    <n v="3750"/>
    <n v="6143"/>
    <x v="60"/>
    <n v="0.39"/>
    <x v="59"/>
    <x v="0"/>
    <n v="-5"/>
    <x v="4"/>
    <x v="14"/>
    <x v="1"/>
  </r>
  <r>
    <x v="63"/>
    <n v="382"/>
    <n v="700"/>
    <x v="61"/>
    <n v="0.45"/>
    <x v="60"/>
    <x v="1"/>
    <n v="-17"/>
    <x v="23"/>
    <x v="21"/>
    <x v="3"/>
  </r>
  <r>
    <x v="64"/>
    <n v="2300"/>
    <n v="3240"/>
    <x v="62"/>
    <n v="0.28999999999999998"/>
    <x v="61"/>
    <x v="0"/>
    <n v="-5"/>
    <x v="4"/>
    <x v="14"/>
    <x v="1"/>
  </r>
  <r>
    <x v="65"/>
    <n v="345"/>
    <n v="602"/>
    <x v="63"/>
    <n v="0.43"/>
    <x v="62"/>
    <x v="1"/>
    <n v="-6"/>
    <x v="9"/>
    <x v="20"/>
    <x v="3"/>
  </r>
  <r>
    <x v="66"/>
    <n v="509"/>
    <n v="899"/>
    <x v="64"/>
    <n v="0.43"/>
    <x v="63"/>
    <x v="1"/>
    <n v="-5"/>
    <x v="4"/>
    <x v="14"/>
    <x v="1"/>
  </r>
  <r>
    <x v="67"/>
    <n v="968"/>
    <n v="1814"/>
    <x v="65"/>
    <n v="0.47"/>
    <x v="64"/>
    <x v="1"/>
    <n v="-6"/>
    <x v="9"/>
    <x v="19"/>
    <x v="3"/>
  </r>
  <r>
    <x v="68"/>
    <n v="1570"/>
    <n v="2988"/>
    <x v="66"/>
    <n v="0.47"/>
    <x v="65"/>
    <x v="1"/>
    <n v="-7"/>
    <x v="3"/>
    <x v="15"/>
    <x v="3"/>
  </r>
  <r>
    <x v="69"/>
    <n v="790"/>
    <n v="1485"/>
    <x v="67"/>
    <n v="0.47"/>
    <x v="66"/>
    <x v="1"/>
    <m/>
    <x v="14"/>
    <x v="10"/>
    <x v="2"/>
  </r>
  <r>
    <x v="70"/>
    <n v="690"/>
    <n v="1200"/>
    <x v="11"/>
    <n v="0.43"/>
    <x v="67"/>
    <x v="1"/>
    <m/>
    <x v="14"/>
    <x v="10"/>
    <x v="2"/>
  </r>
  <r>
    <x v="71"/>
    <n v="1732"/>
    <n v="1799"/>
    <x v="68"/>
    <n v="0.04"/>
    <x v="68"/>
    <x v="2"/>
    <m/>
    <x v="14"/>
    <x v="10"/>
    <x v="2"/>
  </r>
  <r>
    <x v="72"/>
    <n v="230"/>
    <n v="450"/>
    <x v="69"/>
    <n v="0.49"/>
    <x v="69"/>
    <x v="1"/>
    <m/>
    <x v="14"/>
    <x v="10"/>
    <x v="2"/>
  </r>
  <r>
    <x v="73"/>
    <n v="1189"/>
    <n v="2199"/>
    <x v="70"/>
    <n v="0.46"/>
    <x v="70"/>
    <x v="1"/>
    <n v="-1"/>
    <x v="18"/>
    <x v="14"/>
    <x v="1"/>
  </r>
  <r>
    <x v="74"/>
    <n v="979"/>
    <n v="1920"/>
    <x v="71"/>
    <n v="0.49"/>
    <x v="71"/>
    <x v="1"/>
    <n v="-1"/>
    <x v="18"/>
    <x v="8"/>
    <x v="0"/>
  </r>
  <r>
    <x v="75"/>
    <n v="1460"/>
    <n v="2290"/>
    <x v="72"/>
    <n v="0.36"/>
    <x v="72"/>
    <x v="0"/>
    <m/>
    <x v="14"/>
    <x v="10"/>
    <x v="2"/>
  </r>
  <r>
    <x v="76"/>
    <n v="1666"/>
    <n v="1699"/>
    <x v="73"/>
    <n v="0.02"/>
    <x v="73"/>
    <x v="2"/>
    <m/>
    <x v="14"/>
    <x v="10"/>
    <x v="2"/>
  </r>
  <r>
    <x v="77"/>
    <n v="330"/>
    <n v="647"/>
    <x v="74"/>
    <n v="0.49"/>
    <x v="74"/>
    <x v="1"/>
    <n v="-1"/>
    <x v="18"/>
    <x v="5"/>
    <x v="1"/>
  </r>
  <r>
    <x v="78"/>
    <n v="1466"/>
    <n v="1699"/>
    <x v="75"/>
    <n v="0.14000000000000001"/>
    <x v="75"/>
    <x v="2"/>
    <m/>
    <x v="14"/>
    <x v="10"/>
    <x v="2"/>
  </r>
  <r>
    <x v="79"/>
    <n v="274"/>
    <n v="537"/>
    <x v="76"/>
    <n v="0.49"/>
    <x v="76"/>
    <x v="1"/>
    <m/>
    <x v="14"/>
    <x v="10"/>
    <x v="2"/>
  </r>
  <r>
    <x v="80"/>
    <n v="799"/>
    <n v="900"/>
    <x v="77"/>
    <n v="0.11"/>
    <x v="77"/>
    <x v="2"/>
    <m/>
    <x v="14"/>
    <x v="10"/>
    <x v="2"/>
  </r>
  <r>
    <x v="81"/>
    <n v="1468"/>
    <n v="1699"/>
    <x v="78"/>
    <n v="0.14000000000000001"/>
    <x v="78"/>
    <x v="2"/>
    <m/>
    <x v="14"/>
    <x v="10"/>
    <x v="2"/>
  </r>
  <r>
    <x v="82"/>
    <n v="630"/>
    <n v="1100"/>
    <x v="22"/>
    <n v="0.43"/>
    <x v="79"/>
    <x v="1"/>
    <m/>
    <x v="14"/>
    <x v="10"/>
    <x v="2"/>
  </r>
  <r>
    <x v="83"/>
    <n v="850"/>
    <n v="1700"/>
    <x v="79"/>
    <n v="0.5"/>
    <x v="40"/>
    <x v="1"/>
    <m/>
    <x v="14"/>
    <x v="10"/>
    <x v="2"/>
  </r>
  <r>
    <x v="84"/>
    <n v="1300"/>
    <n v="2500"/>
    <x v="80"/>
    <n v="0.48"/>
    <x v="80"/>
    <x v="1"/>
    <m/>
    <x v="14"/>
    <x v="10"/>
    <x v="2"/>
  </r>
  <r>
    <x v="85"/>
    <n v="105"/>
    <n v="200"/>
    <x v="81"/>
    <n v="0.48"/>
    <x v="81"/>
    <x v="1"/>
    <m/>
    <x v="14"/>
    <x v="10"/>
    <x v="2"/>
  </r>
  <r>
    <x v="86"/>
    <n v="1200"/>
    <n v="2400"/>
    <x v="80"/>
    <n v="0.5"/>
    <x v="40"/>
    <x v="1"/>
    <m/>
    <x v="14"/>
    <x v="10"/>
    <x v="2"/>
  </r>
  <r>
    <x v="87"/>
    <n v="1526"/>
    <n v="1660"/>
    <x v="82"/>
    <n v="0.08"/>
    <x v="82"/>
    <x v="2"/>
    <m/>
    <x v="14"/>
    <x v="10"/>
    <x v="2"/>
  </r>
  <r>
    <x v="88"/>
    <n v="1462"/>
    <n v="1499"/>
    <x v="40"/>
    <n v="0.02"/>
    <x v="83"/>
    <x v="2"/>
    <m/>
    <x v="14"/>
    <x v="10"/>
    <x v="2"/>
  </r>
  <r>
    <x v="89"/>
    <n v="248"/>
    <n v="486"/>
    <x v="39"/>
    <n v="0.49"/>
    <x v="84"/>
    <x v="1"/>
    <m/>
    <x v="14"/>
    <x v="10"/>
    <x v="2"/>
  </r>
  <r>
    <x v="90"/>
    <n v="3546"/>
    <n v="3699"/>
    <x v="83"/>
    <n v="0.04"/>
    <x v="85"/>
    <x v="2"/>
    <m/>
    <x v="14"/>
    <x v="10"/>
    <x v="2"/>
  </r>
  <r>
    <x v="91"/>
    <n v="525"/>
    <n v="1029"/>
    <x v="84"/>
    <n v="0.49"/>
    <x v="39"/>
    <x v="1"/>
    <m/>
    <x v="14"/>
    <x v="10"/>
    <x v="2"/>
  </r>
  <r>
    <x v="92"/>
    <n v="1080"/>
    <n v="1874"/>
    <x v="85"/>
    <n v="0.42"/>
    <x v="86"/>
    <x v="1"/>
    <m/>
    <x v="14"/>
    <x v="10"/>
    <x v="2"/>
  </r>
  <r>
    <x v="93"/>
    <n v="3640"/>
    <n v="4588"/>
    <x v="86"/>
    <n v="0.21"/>
    <x v="87"/>
    <x v="0"/>
    <n v="-1"/>
    <x v="18"/>
    <x v="8"/>
    <x v="0"/>
  </r>
  <r>
    <x v="94"/>
    <n v="1420"/>
    <n v="2420"/>
    <x v="59"/>
    <n v="0.41"/>
    <x v="88"/>
    <x v="1"/>
    <m/>
    <x v="14"/>
    <x v="10"/>
    <x v="2"/>
  </r>
  <r>
    <x v="95"/>
    <n v="1875"/>
    <n v="1899"/>
    <x v="87"/>
    <n v="0.01"/>
    <x v="89"/>
    <x v="2"/>
    <m/>
    <x v="14"/>
    <x v="10"/>
    <x v="2"/>
  </r>
  <r>
    <x v="96"/>
    <n v="198"/>
    <n v="260"/>
    <x v="88"/>
    <n v="0.24"/>
    <x v="90"/>
    <x v="0"/>
    <m/>
    <x v="14"/>
    <x v="10"/>
    <x v="2"/>
  </r>
  <r>
    <x v="97"/>
    <n v="1150"/>
    <n v="1737"/>
    <x v="89"/>
    <n v="0.34"/>
    <x v="91"/>
    <x v="0"/>
    <m/>
    <x v="14"/>
    <x v="10"/>
    <x v="2"/>
  </r>
  <r>
    <x v="98"/>
    <n v="1190"/>
    <n v="1810"/>
    <x v="90"/>
    <n v="0.34"/>
    <x v="92"/>
    <x v="0"/>
    <m/>
    <x v="14"/>
    <x v="10"/>
    <x v="2"/>
  </r>
  <r>
    <x v="99"/>
    <n v="1658"/>
    <n v="1699"/>
    <x v="91"/>
    <n v="0.02"/>
    <x v="93"/>
    <x v="2"/>
    <m/>
    <x v="14"/>
    <x v="10"/>
    <x v="2"/>
  </r>
  <r>
    <x v="100"/>
    <n v="1768"/>
    <n v="1799"/>
    <x v="92"/>
    <n v="0.02"/>
    <x v="94"/>
    <x v="2"/>
    <m/>
    <x v="14"/>
    <x v="10"/>
    <x v="2"/>
  </r>
  <r>
    <x v="101"/>
    <n v="199"/>
    <n v="553"/>
    <x v="93"/>
    <n v="0.64"/>
    <x v="95"/>
    <x v="1"/>
    <m/>
    <x v="14"/>
    <x v="10"/>
    <x v="2"/>
  </r>
  <r>
    <x v="102"/>
    <n v="450"/>
    <n v="900"/>
    <x v="94"/>
    <n v="0.5"/>
    <x v="40"/>
    <x v="1"/>
    <n v="-1"/>
    <x v="18"/>
    <x v="22"/>
    <x v="3"/>
  </r>
  <r>
    <x v="103"/>
    <n v="169"/>
    <n v="320"/>
    <x v="95"/>
    <n v="0.47"/>
    <x v="96"/>
    <x v="1"/>
    <m/>
    <x v="14"/>
    <x v="10"/>
    <x v="2"/>
  </r>
  <r>
    <x v="104"/>
    <n v="610"/>
    <n v="1060"/>
    <x v="94"/>
    <n v="0.42"/>
    <x v="97"/>
    <x v="1"/>
    <m/>
    <x v="14"/>
    <x v="10"/>
    <x v="2"/>
  </r>
  <r>
    <x v="105"/>
    <n v="199"/>
    <n v="504"/>
    <x v="96"/>
    <n v="0.61"/>
    <x v="98"/>
    <x v="1"/>
    <m/>
    <x v="14"/>
    <x v="10"/>
    <x v="2"/>
  </r>
  <r>
    <x v="106"/>
    <n v="499"/>
    <n v="900"/>
    <x v="97"/>
    <n v="0.45"/>
    <x v="99"/>
    <x v="1"/>
    <m/>
    <x v="14"/>
    <x v="10"/>
    <x v="2"/>
  </r>
  <r>
    <x v="107"/>
    <n v="799"/>
    <n v="1567"/>
    <x v="98"/>
    <n v="0.49"/>
    <x v="100"/>
    <x v="1"/>
    <m/>
    <x v="14"/>
    <x v="10"/>
    <x v="2"/>
  </r>
  <r>
    <x v="106"/>
    <n v="399"/>
    <n v="896"/>
    <x v="99"/>
    <n v="0.55000000000000004"/>
    <x v="101"/>
    <x v="1"/>
    <m/>
    <x v="14"/>
    <x v="10"/>
    <x v="2"/>
  </r>
  <r>
    <x v="105"/>
    <n v="176"/>
    <n v="345"/>
    <x v="100"/>
    <n v="0.49"/>
    <x v="102"/>
    <x v="1"/>
    <m/>
    <x v="14"/>
    <x v="10"/>
    <x v="2"/>
  </r>
  <r>
    <x v="107"/>
    <n v="657"/>
    <n v="1288"/>
    <x v="101"/>
    <n v="0.49"/>
    <x v="103"/>
    <x v="1"/>
    <m/>
    <x v="14"/>
    <x v="10"/>
    <x v="2"/>
  </r>
  <r>
    <x v="108"/>
    <n v="899"/>
    <n v="1699"/>
    <x v="102"/>
    <n v="0.47"/>
    <x v="104"/>
    <x v="1"/>
    <m/>
    <x v="14"/>
    <x v="10"/>
    <x v="2"/>
  </r>
  <r>
    <x v="109"/>
    <m/>
    <m/>
    <x v="103"/>
    <m/>
    <x v="105"/>
    <x v="2"/>
    <m/>
    <x v="24"/>
    <x v="10"/>
    <x v="2"/>
  </r>
  <r>
    <x v="109"/>
    <m/>
    <m/>
    <x v="103"/>
    <m/>
    <x v="105"/>
    <x v="2"/>
    <m/>
    <x v="24"/>
    <x v="10"/>
    <x v="2"/>
  </r>
  <r>
    <x v="109"/>
    <m/>
    <m/>
    <x v="103"/>
    <m/>
    <x v="105"/>
    <x v="2"/>
    <m/>
    <x v="24"/>
    <x v="10"/>
    <x v="2"/>
  </r>
  <r>
    <x v="109"/>
    <n v="1186.8928571428571"/>
    <n v="1811.1071428571429"/>
    <x v="103"/>
    <m/>
    <x v="106"/>
    <x v="3"/>
    <m/>
    <x v="24"/>
    <x v="23"/>
    <x v="4"/>
  </r>
</pivotCacheRecords>
</file>

<file path=xl/pivotCache/pivotCacheRecords2.xml><?xml version="1.0" encoding="utf-8"?>
<pivotCacheRecords xmlns="http://schemas.openxmlformats.org/spreadsheetml/2006/main" xmlns:r="http://schemas.openxmlformats.org/officeDocument/2006/relationships" count="113">
  <r>
    <x v="0"/>
    <n v="1860"/>
    <n v="3220"/>
    <x v="0"/>
    <n v="0.42236024844720499"/>
    <s v="High Discount"/>
    <m/>
    <n v="0"/>
    <n v="3.89"/>
    <s v="Average"/>
  </r>
  <r>
    <x v="1"/>
    <n v="2200"/>
    <n v="4080"/>
    <x v="1"/>
    <n v="0.46078431372549017"/>
    <s v="High Discount"/>
    <m/>
    <n v="0"/>
    <n v="3.89"/>
    <s v="Average"/>
  </r>
  <r>
    <x v="2"/>
    <n v="2750"/>
    <n v="4471"/>
    <x v="2"/>
    <n v="0.38492507269067322"/>
    <s v="Medium Discount"/>
    <m/>
    <n v="0"/>
    <n v="3.89"/>
    <s v="Average"/>
  </r>
  <r>
    <x v="3"/>
    <n v="475"/>
    <n v="931"/>
    <x v="3"/>
    <n v="0.48979591836734693"/>
    <s v="High Discount"/>
    <m/>
    <n v="0"/>
    <n v="3.89"/>
    <s v="Average"/>
  </r>
  <r>
    <x v="4"/>
    <n v="238"/>
    <n v="476"/>
    <x v="4"/>
    <n v="0.5"/>
    <s v="High Discount"/>
    <m/>
    <n v="0"/>
    <n v="3.89"/>
    <s v="Average"/>
  </r>
  <r>
    <x v="5"/>
    <n v="2132"/>
    <n v="2169"/>
    <x v="5"/>
    <n v="1.705855232826187E-2"/>
    <s v="Low Discount"/>
    <m/>
    <n v="0"/>
    <n v="3.89"/>
    <s v="Average"/>
  </r>
  <r>
    <x v="6"/>
    <n v="999"/>
    <n v="2000"/>
    <x v="6"/>
    <n v="0.50049999999999994"/>
    <s v="High Discount"/>
    <m/>
    <n v="0"/>
    <n v="3.89"/>
    <s v="Average"/>
  </r>
  <r>
    <x v="7"/>
    <n v="1190"/>
    <n v="1785"/>
    <x v="7"/>
    <n v="0.33333333333333331"/>
    <s v="Medium Discount"/>
    <m/>
    <n v="0"/>
    <n v="3.89"/>
    <s v="Average"/>
  </r>
  <r>
    <x v="8"/>
    <n v="671"/>
    <n v="1316"/>
    <x v="8"/>
    <n v="0.49012158054711247"/>
    <s v="High Discount"/>
    <m/>
    <n v="0"/>
    <n v="3.89"/>
    <s v="Average"/>
  </r>
  <r>
    <x v="9"/>
    <n v="1200"/>
    <n v="1950"/>
    <x v="9"/>
    <n v="0.38461538461538464"/>
    <s v="Medium Discount"/>
    <m/>
    <n v="0"/>
    <n v="3.89"/>
    <s v="Average"/>
  </r>
  <r>
    <x v="10"/>
    <n v="299"/>
    <n v="600"/>
    <x v="10"/>
    <n v="0.50166666666666671"/>
    <s v="High Discount"/>
    <m/>
    <n v="0"/>
    <n v="3.89"/>
    <s v="Average"/>
  </r>
  <r>
    <x v="11"/>
    <n v="1660"/>
    <n v="1699"/>
    <x v="11"/>
    <n v="2.2954679223072396E-2"/>
    <s v="Low Discount"/>
    <m/>
    <n v="0"/>
    <n v="3.89"/>
    <s v="Average"/>
  </r>
  <r>
    <x v="12"/>
    <n v="299"/>
    <n v="384"/>
    <x v="12"/>
    <n v="0.22135416666666666"/>
    <s v="Medium Discount"/>
    <m/>
    <n v="0"/>
    <n v="3.89"/>
    <s v="Average"/>
  </r>
  <r>
    <x v="13"/>
    <n v="1459"/>
    <n v="1499"/>
    <x v="13"/>
    <n v="2.6684456304202801E-2"/>
    <s v="Low Discount"/>
    <m/>
    <n v="0"/>
    <n v="3.89"/>
    <s v="Average"/>
  </r>
  <r>
    <x v="14"/>
    <n v="799"/>
    <n v="1343"/>
    <x v="14"/>
    <n v="0.4050632911392405"/>
    <s v="High Discount"/>
    <m/>
    <n v="0"/>
    <n v="3.89"/>
    <s v="Average"/>
  </r>
  <r>
    <x v="15"/>
    <n v="699"/>
    <n v="1343"/>
    <x v="15"/>
    <n v="0.47952345495160087"/>
    <s v="High Discount"/>
    <m/>
    <n v="0"/>
    <n v="3.89"/>
    <s v="Average"/>
  </r>
  <r>
    <x v="16"/>
    <n v="2799"/>
    <n v="3810"/>
    <x v="16"/>
    <n v="0.26535433070866143"/>
    <s v="Medium Discount"/>
    <m/>
    <n v="0"/>
    <n v="3.89"/>
    <s v="Average"/>
  </r>
  <r>
    <x v="17"/>
    <n v="790"/>
    <n v="1485"/>
    <x v="17"/>
    <n v="0.46801346801346799"/>
    <s v="High Discount"/>
    <m/>
    <n v="0"/>
    <n v="3.89"/>
    <s v="Average"/>
  </r>
  <r>
    <x v="18"/>
    <n v="690"/>
    <n v="1200"/>
    <x v="18"/>
    <n v="0.42499999999999999"/>
    <s v="High Discount"/>
    <m/>
    <n v="0"/>
    <n v="3.89"/>
    <s v="Average"/>
  </r>
  <r>
    <x v="19"/>
    <n v="1732"/>
    <n v="1799"/>
    <x v="19"/>
    <n v="3.7242912729294052E-2"/>
    <s v="Low Discount"/>
    <m/>
    <n v="0"/>
    <n v="3.89"/>
    <s v="Average"/>
  </r>
  <r>
    <x v="20"/>
    <n v="230"/>
    <n v="450"/>
    <x v="20"/>
    <n v="0.48888888888888887"/>
    <s v="High Discount"/>
    <m/>
    <n v="0"/>
    <n v="3.89"/>
    <s v="Average"/>
  </r>
  <r>
    <x v="21"/>
    <n v="1460"/>
    <n v="2290"/>
    <x v="21"/>
    <n v="0.36244541484716158"/>
    <s v="Medium Discount"/>
    <m/>
    <n v="0"/>
    <n v="3.89"/>
    <s v="Average"/>
  </r>
  <r>
    <x v="22"/>
    <n v="1666"/>
    <n v="1699"/>
    <x v="22"/>
    <n v="1.9423190111830489E-2"/>
    <s v="Low Discount"/>
    <m/>
    <n v="0"/>
    <n v="3.89"/>
    <s v="Average"/>
  </r>
  <r>
    <x v="23"/>
    <n v="1466"/>
    <n v="1699"/>
    <x v="23"/>
    <n v="0.13713949381989404"/>
    <s v="Low Discount"/>
    <m/>
    <n v="0"/>
    <n v="3.89"/>
    <s v="Average"/>
  </r>
  <r>
    <x v="24"/>
    <n v="274"/>
    <n v="537"/>
    <x v="24"/>
    <n v="0.48975791433891991"/>
    <s v="High Discount"/>
    <m/>
    <n v="0"/>
    <n v="3.89"/>
    <s v="Average"/>
  </r>
  <r>
    <x v="25"/>
    <n v="799"/>
    <n v="900"/>
    <x v="25"/>
    <n v="0.11222222222222222"/>
    <s v="Low Discount"/>
    <m/>
    <n v="0"/>
    <n v="3.89"/>
    <s v="Average"/>
  </r>
  <r>
    <x v="26"/>
    <n v="1468"/>
    <n v="1699"/>
    <x v="26"/>
    <n v="0.13596233078281342"/>
    <s v="Low Discount"/>
    <m/>
    <n v="0"/>
    <n v="3.89"/>
    <s v="Average"/>
  </r>
  <r>
    <x v="27"/>
    <n v="630"/>
    <n v="1100"/>
    <x v="27"/>
    <n v="0.42727272727272725"/>
    <s v="High Discount"/>
    <m/>
    <n v="0"/>
    <n v="3.89"/>
    <s v="Average"/>
  </r>
  <r>
    <x v="28"/>
    <n v="850"/>
    <n v="1700"/>
    <x v="28"/>
    <n v="0.5"/>
    <s v="High Discount"/>
    <m/>
    <n v="0"/>
    <n v="3.89"/>
    <s v="Average"/>
  </r>
  <r>
    <x v="29"/>
    <n v="1300"/>
    <n v="2500"/>
    <x v="29"/>
    <n v="0.48"/>
    <s v="High Discount"/>
    <m/>
    <n v="0"/>
    <n v="3.89"/>
    <s v="Average"/>
  </r>
  <r>
    <x v="30"/>
    <n v="105"/>
    <n v="200"/>
    <x v="30"/>
    <n v="0.47499999999999998"/>
    <s v="High Discount"/>
    <m/>
    <n v="0"/>
    <n v="3.89"/>
    <s v="Average"/>
  </r>
  <r>
    <x v="31"/>
    <n v="1200"/>
    <n v="2400"/>
    <x v="29"/>
    <n v="0.5"/>
    <s v="High Discount"/>
    <m/>
    <n v="0"/>
    <n v="3.89"/>
    <s v="Average"/>
  </r>
  <r>
    <x v="32"/>
    <n v="1526"/>
    <n v="1660"/>
    <x v="31"/>
    <n v="8.0722891566265054E-2"/>
    <s v="Low Discount"/>
    <m/>
    <n v="0"/>
    <n v="3.89"/>
    <s v="Average"/>
  </r>
  <r>
    <x v="33"/>
    <n v="1462"/>
    <n v="1499"/>
    <x v="5"/>
    <n v="2.4683122081387593E-2"/>
    <s v="Low Discount"/>
    <m/>
    <n v="0"/>
    <n v="3.89"/>
    <s v="Average"/>
  </r>
  <r>
    <x v="34"/>
    <n v="248"/>
    <n v="486"/>
    <x v="4"/>
    <n v="0.48971193415637859"/>
    <s v="High Discount"/>
    <m/>
    <n v="0"/>
    <n v="3.89"/>
    <s v="Average"/>
  </r>
  <r>
    <x v="35"/>
    <n v="3546"/>
    <n v="3699"/>
    <x v="32"/>
    <n v="4.1362530413625302E-2"/>
    <s v="Low Discount"/>
    <m/>
    <n v="0"/>
    <n v="3.89"/>
    <s v="Average"/>
  </r>
  <r>
    <x v="36"/>
    <n v="525"/>
    <n v="1029"/>
    <x v="33"/>
    <n v="0.48979591836734693"/>
    <s v="High Discount"/>
    <m/>
    <n v="0"/>
    <n v="3.89"/>
    <s v="Average"/>
  </r>
  <r>
    <x v="37"/>
    <n v="1080"/>
    <n v="1874"/>
    <x v="34"/>
    <n v="0.42369263607257202"/>
    <s v="High Discount"/>
    <m/>
    <n v="0"/>
    <n v="3.89"/>
    <s v="Average"/>
  </r>
  <r>
    <x v="38"/>
    <n v="1420"/>
    <n v="2420"/>
    <x v="35"/>
    <n v="0.41322314049586778"/>
    <s v="High Discount"/>
    <m/>
    <n v="0"/>
    <n v="3.89"/>
    <s v="Average"/>
  </r>
  <r>
    <x v="39"/>
    <n v="1875"/>
    <n v="1899"/>
    <x v="36"/>
    <n v="1.2638230647709321E-2"/>
    <s v="Low Discount"/>
    <m/>
    <n v="0"/>
    <n v="3.89"/>
    <s v="Average"/>
  </r>
  <r>
    <x v="40"/>
    <n v="198"/>
    <n v="260"/>
    <x v="37"/>
    <n v="0.23846153846153847"/>
    <s v="Medium Discount"/>
    <m/>
    <n v="0"/>
    <n v="3.89"/>
    <s v="Average"/>
  </r>
  <r>
    <x v="41"/>
    <n v="1150"/>
    <n v="1737"/>
    <x v="38"/>
    <n v="0.3379389752446747"/>
    <s v="Medium Discount"/>
    <m/>
    <n v="0"/>
    <n v="3.89"/>
    <s v="Average"/>
  </r>
  <r>
    <x v="42"/>
    <n v="1190"/>
    <n v="1810"/>
    <x v="39"/>
    <n v="0.34254143646408841"/>
    <s v="Medium Discount"/>
    <m/>
    <n v="0"/>
    <n v="3.89"/>
    <s v="Average"/>
  </r>
  <r>
    <x v="43"/>
    <n v="1658"/>
    <n v="1699"/>
    <x v="40"/>
    <n v="2.4131842260153032E-2"/>
    <s v="Low Discount"/>
    <m/>
    <n v="0"/>
    <n v="3.89"/>
    <s v="Average"/>
  </r>
  <r>
    <x v="44"/>
    <n v="1768"/>
    <n v="1799"/>
    <x v="41"/>
    <n v="1.7231795441912175E-2"/>
    <s v="Low Discount"/>
    <m/>
    <n v="0"/>
    <n v="3.89"/>
    <s v="Average"/>
  </r>
  <r>
    <x v="45"/>
    <n v="199"/>
    <n v="553"/>
    <x v="42"/>
    <n v="0.64014466546112114"/>
    <s v="High Discount"/>
    <m/>
    <n v="0"/>
    <n v="3.89"/>
    <s v="Average"/>
  </r>
  <r>
    <x v="46"/>
    <n v="169"/>
    <n v="320"/>
    <x v="43"/>
    <n v="0.47187499999999999"/>
    <s v="High Discount"/>
    <m/>
    <n v="0"/>
    <n v="3.89"/>
    <s v="Average"/>
  </r>
  <r>
    <x v="47"/>
    <n v="610"/>
    <n v="1060"/>
    <x v="44"/>
    <n v="0.42452830188679247"/>
    <s v="High Discount"/>
    <m/>
    <n v="0"/>
    <n v="3.89"/>
    <s v="Average"/>
  </r>
  <r>
    <x v="48"/>
    <n v="199"/>
    <n v="504"/>
    <x v="45"/>
    <n v="0.60515873015873012"/>
    <s v="High Discount"/>
    <m/>
    <n v="0"/>
    <n v="3.89"/>
    <s v="Average"/>
  </r>
  <r>
    <x v="49"/>
    <n v="499"/>
    <n v="900"/>
    <x v="46"/>
    <n v="0.44555555555555554"/>
    <s v="High Discount"/>
    <m/>
    <n v="0"/>
    <n v="3.89"/>
    <s v="Average"/>
  </r>
  <r>
    <x v="50"/>
    <n v="799"/>
    <n v="1567"/>
    <x v="47"/>
    <n v="0.49010848755583919"/>
    <s v="High Discount"/>
    <m/>
    <n v="0"/>
    <n v="3.89"/>
    <s v="Average"/>
  </r>
  <r>
    <x v="49"/>
    <n v="399"/>
    <n v="896"/>
    <x v="48"/>
    <n v="0.5546875"/>
    <s v="High Discount"/>
    <m/>
    <n v="0"/>
    <n v="3.89"/>
    <s v="Average"/>
  </r>
  <r>
    <x v="48"/>
    <n v="176"/>
    <n v="345"/>
    <x v="49"/>
    <n v="0.48985507246376814"/>
    <s v="High Discount"/>
    <m/>
    <n v="0"/>
    <n v="3.89"/>
    <s v="Average"/>
  </r>
  <r>
    <x v="50"/>
    <n v="657"/>
    <n v="1288"/>
    <x v="50"/>
    <n v="0.48990683229813664"/>
    <s v="High Discount"/>
    <m/>
    <n v="0"/>
    <n v="3.89"/>
    <s v="Average"/>
  </r>
  <r>
    <x v="51"/>
    <n v="899"/>
    <n v="1699"/>
    <x v="51"/>
    <n v="0.47086521483225424"/>
    <s v="High Discount"/>
    <m/>
    <n v="0"/>
    <n v="3.89"/>
    <s v="Average"/>
  </r>
  <r>
    <x v="52"/>
    <n v="332"/>
    <n v="684"/>
    <x v="52"/>
    <n v="0.51461988304093564"/>
    <s v="High Discount"/>
    <n v="-2"/>
    <n v="2"/>
    <n v="5"/>
    <s v="Excellent"/>
  </r>
  <r>
    <x v="53"/>
    <n v="195"/>
    <n v="360"/>
    <x v="53"/>
    <n v="0.45833333333333331"/>
    <s v="High Discount"/>
    <n v="-2"/>
    <n v="2"/>
    <n v="5"/>
    <s v="Excellent"/>
  </r>
  <r>
    <x v="54"/>
    <n v="2025"/>
    <n v="3971"/>
    <x v="54"/>
    <n v="0.49005288340468395"/>
    <s v="High Discount"/>
    <n v="-3"/>
    <n v="3"/>
    <n v="5"/>
    <s v="Excellent"/>
  </r>
  <r>
    <x v="55"/>
    <n v="1620"/>
    <n v="2690"/>
    <x v="55"/>
    <n v="0.39776951672862454"/>
    <s v="Medium Discount"/>
    <n v="-1"/>
    <n v="1"/>
    <n v="5"/>
    <s v="Excellent"/>
  </r>
  <r>
    <x v="56"/>
    <n v="171"/>
    <n v="360"/>
    <x v="56"/>
    <n v="0.52500000000000002"/>
    <s v="High Discount"/>
    <n v="-2"/>
    <n v="2"/>
    <n v="5"/>
    <s v="Excellent"/>
  </r>
  <r>
    <x v="57"/>
    <n v="979"/>
    <n v="1920"/>
    <x v="57"/>
    <n v="0.49010416666666667"/>
    <s v="High Discount"/>
    <n v="-1"/>
    <n v="1"/>
    <n v="5"/>
    <s v="Excellent"/>
  </r>
  <r>
    <x v="58"/>
    <n v="3640"/>
    <n v="4588"/>
    <x v="58"/>
    <n v="0.20662598081952921"/>
    <s v="Medium Discount"/>
    <n v="-1"/>
    <n v="1"/>
    <n v="5"/>
    <s v="Excellent"/>
  </r>
  <r>
    <x v="59"/>
    <n v="1740"/>
    <n v="2356"/>
    <x v="59"/>
    <n v="0.26146010186757218"/>
    <s v="Medium Discount"/>
    <n v="-5"/>
    <n v="5"/>
    <n v="4.8"/>
    <s v="Excellent"/>
  </r>
  <r>
    <x v="60"/>
    <n v="1274"/>
    <n v="2800"/>
    <x v="60"/>
    <n v="0.54500000000000004"/>
    <s v="High Discount"/>
    <n v="-5"/>
    <n v="5"/>
    <n v="4.8"/>
    <s v="Excellent"/>
  </r>
  <r>
    <x v="61"/>
    <n v="552"/>
    <n v="1035"/>
    <x v="61"/>
    <n v="0.46666666666666667"/>
    <s v="High Discount"/>
    <n v="-12"/>
    <n v="12"/>
    <n v="4.8"/>
    <s v="Excellent"/>
  </r>
  <r>
    <x v="62"/>
    <n v="1580"/>
    <n v="2499"/>
    <x v="62"/>
    <n v="0.36774709883953582"/>
    <s v="Medium Discount"/>
    <n v="-7"/>
    <n v="7"/>
    <n v="4.7"/>
    <s v="Excellent"/>
  </r>
  <r>
    <x v="63"/>
    <n v="990"/>
    <n v="1500"/>
    <x v="18"/>
    <n v="0.34"/>
    <s v="Medium Discount"/>
    <n v="-39"/>
    <n v="39"/>
    <n v="4.7"/>
    <s v="Excellent"/>
  </r>
  <r>
    <x v="64"/>
    <n v="980"/>
    <n v="1490"/>
    <x v="18"/>
    <n v="0.34228187919463088"/>
    <s v="Medium Discount"/>
    <n v="-12"/>
    <n v="12"/>
    <n v="4.7"/>
    <s v="Excellent"/>
  </r>
  <r>
    <x v="65"/>
    <n v="1940"/>
    <n v="2650"/>
    <x v="63"/>
    <n v="0.26792452830188679"/>
    <s v="Medium Discount"/>
    <n v="-20"/>
    <n v="20"/>
    <n v="4.7"/>
    <s v="Excellent"/>
  </r>
  <r>
    <x v="66"/>
    <n v="2199"/>
    <n v="2923"/>
    <x v="64"/>
    <n v="0.24769072870338693"/>
    <s v="Medium Discount"/>
    <n v="-24"/>
    <n v="24"/>
    <n v="4.5999999999999996"/>
    <s v="Excellent"/>
  </r>
  <r>
    <x v="67"/>
    <n v="2319"/>
    <n v="3032"/>
    <x v="65"/>
    <n v="0.23515831134564644"/>
    <s v="Medium Discount"/>
    <n v="-55"/>
    <n v="55"/>
    <n v="4.5999999999999996"/>
    <s v="Excellent"/>
  </r>
  <r>
    <x v="68"/>
    <n v="2999"/>
    <n v="3699"/>
    <x v="66"/>
    <n v="0.18924033522573669"/>
    <s v="Low Discount"/>
    <n v="-5"/>
    <n v="5"/>
    <n v="4.5999999999999996"/>
    <s v="Excellent"/>
  </r>
  <r>
    <x v="69"/>
    <n v="998"/>
    <n v="1966"/>
    <x v="67"/>
    <n v="0.49237029501525942"/>
    <s v="High Discount"/>
    <n v="-44"/>
    <n v="44"/>
    <n v="4.5999999999999996"/>
    <s v="Excellent"/>
  </r>
  <r>
    <x v="70"/>
    <n v="420"/>
    <n v="647"/>
    <x v="68"/>
    <n v="0.3508500772797527"/>
    <s v="Medium Discount"/>
    <n v="-49"/>
    <n v="49"/>
    <n v="4.5999999999999996"/>
    <s v="Excellent"/>
  </r>
  <r>
    <x v="71"/>
    <n v="950"/>
    <n v="1525"/>
    <x v="69"/>
    <n v="0.37704918032786883"/>
    <s v="Medium Discount"/>
    <n v="-2"/>
    <n v="2"/>
    <n v="4.5"/>
    <s v="Excellent"/>
  </r>
  <r>
    <x v="72"/>
    <n v="501"/>
    <n v="860"/>
    <x v="70"/>
    <n v="0.41744186046511628"/>
    <s v="High Discount"/>
    <n v="-6"/>
    <n v="6"/>
    <n v="4.5"/>
    <s v="Excellent"/>
  </r>
  <r>
    <x v="73"/>
    <n v="1980"/>
    <n v="2699"/>
    <x v="71"/>
    <n v="0.26639496109670247"/>
    <s v="Medium Discount"/>
    <n v="-32"/>
    <n v="32"/>
    <n v="4.5"/>
    <s v="Excellent"/>
  </r>
  <r>
    <x v="74"/>
    <n v="1800"/>
    <n v="2700"/>
    <x v="72"/>
    <n v="0.33333333333333331"/>
    <s v="Medium Discount"/>
    <n v="-2"/>
    <n v="2"/>
    <n v="4.5"/>
    <s v="Excellent"/>
  </r>
  <r>
    <x v="75"/>
    <n v="1650"/>
    <n v="2150"/>
    <x v="73"/>
    <n v="0.23255813953488372"/>
    <s v="Medium Discount"/>
    <n v="-14"/>
    <n v="14"/>
    <n v="4.4000000000000004"/>
    <s v="Average"/>
  </r>
  <r>
    <x v="76"/>
    <n v="2048"/>
    <n v="4500"/>
    <x v="74"/>
    <n v="0.54488888888888887"/>
    <s v="High Discount"/>
    <n v="-7"/>
    <n v="7"/>
    <n v="4.3"/>
    <s v="Average"/>
  </r>
  <r>
    <x v="77"/>
    <n v="185"/>
    <n v="382"/>
    <x v="75"/>
    <n v="0.51570680628272247"/>
    <s v="High Discount"/>
    <n v="-9"/>
    <n v="9"/>
    <n v="4.3"/>
    <s v="Average"/>
  </r>
  <r>
    <x v="78"/>
    <n v="1820"/>
    <n v="3490"/>
    <x v="76"/>
    <n v="0.47851002865329512"/>
    <s v="High Discount"/>
    <n v="-9"/>
    <n v="9"/>
    <n v="4.3"/>
    <s v="Average"/>
  </r>
  <r>
    <x v="79"/>
    <n v="389"/>
    <n v="656"/>
    <x v="77"/>
    <n v="0.40701219512195119"/>
    <s v="High Discount"/>
    <n v="-36"/>
    <n v="36"/>
    <n v="4.3"/>
    <s v="Average"/>
  </r>
  <r>
    <x v="80"/>
    <n v="1680"/>
    <n v="2499"/>
    <x v="78"/>
    <n v="0.32773109243697479"/>
    <s v="Medium Discount"/>
    <n v="-9"/>
    <n v="9"/>
    <n v="4.2"/>
    <s v="Average"/>
  </r>
  <r>
    <x v="81"/>
    <n v="527"/>
    <n v="999"/>
    <x v="79"/>
    <n v="0.47247247247247248"/>
    <s v="High Discount"/>
    <n v="-14"/>
    <n v="14"/>
    <n v="4.0999999999999996"/>
    <s v="Average"/>
  </r>
  <r>
    <x v="82"/>
    <n v="799"/>
    <n v="999"/>
    <x v="80"/>
    <n v="0.20020020020020021"/>
    <s v="Medium Discount"/>
    <n v="-12"/>
    <n v="12"/>
    <n v="4.0999999999999996"/>
    <s v="Average"/>
  </r>
  <r>
    <x v="83"/>
    <n v="1758"/>
    <n v="2499"/>
    <x v="81"/>
    <n v="0.2965186074429772"/>
    <s v="Medium Discount"/>
    <n v="-20"/>
    <n v="20"/>
    <n v="4.0999999999999996"/>
    <s v="Average"/>
  </r>
  <r>
    <x v="84"/>
    <n v="2999"/>
    <n v="3290"/>
    <x v="82"/>
    <n v="8.8449848024316116E-2"/>
    <s v="Low Discount"/>
    <n v="-15"/>
    <n v="15"/>
    <n v="4"/>
    <s v="Average"/>
  </r>
  <r>
    <x v="85"/>
    <n v="988"/>
    <n v="1580"/>
    <x v="83"/>
    <n v="0.37468354430379747"/>
    <s v="Medium Discount"/>
    <n v="-2"/>
    <n v="2"/>
    <n v="4"/>
    <s v="Average"/>
  </r>
  <r>
    <x v="86"/>
    <n v="880"/>
    <n v="1350"/>
    <x v="27"/>
    <n v="0.34814814814814815"/>
    <s v="Medium Discount"/>
    <n v="-6"/>
    <n v="6"/>
    <n v="4"/>
    <s v="Average"/>
  </r>
  <r>
    <x v="87"/>
    <n v="330"/>
    <n v="647"/>
    <x v="84"/>
    <n v="0.48995363214837712"/>
    <s v="High Discount"/>
    <n v="-1"/>
    <n v="1"/>
    <n v="4"/>
    <s v="Average"/>
  </r>
  <r>
    <x v="88"/>
    <n v="1600"/>
    <n v="2929"/>
    <x v="85"/>
    <n v="0.45373847729600547"/>
    <s v="High Discount"/>
    <n v="-5"/>
    <n v="5"/>
    <n v="3.8"/>
    <s v="Average"/>
  </r>
  <r>
    <x v="89"/>
    <n v="2880"/>
    <n v="3520"/>
    <x v="86"/>
    <n v="0.18181818181818182"/>
    <s v="Low Discount"/>
    <n v="-12"/>
    <n v="12"/>
    <n v="3.8"/>
    <s v="Average"/>
  </r>
  <r>
    <x v="90"/>
    <n v="1350"/>
    <n v="1990"/>
    <x v="86"/>
    <n v="0.32160804020100503"/>
    <s v="Medium Discount"/>
    <n v="-13"/>
    <n v="13"/>
    <n v="3.8"/>
    <s v="Average"/>
  </r>
  <r>
    <x v="91"/>
    <n v="38"/>
    <n v="80"/>
    <x v="87"/>
    <n v="0.52500000000000002"/>
    <s v="High Discount"/>
    <n v="-13"/>
    <n v="13"/>
    <n v="3.3"/>
    <s v="Average"/>
  </r>
  <r>
    <x v="92"/>
    <n v="458"/>
    <n v="986"/>
    <x v="88"/>
    <n v="0.53549695740365111"/>
    <s v="High Discount"/>
    <n v="-10"/>
    <n v="10"/>
    <n v="3"/>
    <s v="Average"/>
  </r>
  <r>
    <x v="93"/>
    <n v="3750"/>
    <n v="6143"/>
    <x v="89"/>
    <n v="0.38954908025394758"/>
    <s v="Medium Discount"/>
    <n v="-5"/>
    <n v="5"/>
    <n v="3"/>
    <s v="Average"/>
  </r>
  <r>
    <x v="94"/>
    <n v="2300"/>
    <n v="3240"/>
    <x v="90"/>
    <n v="0.29012345679012347"/>
    <s v="Medium Discount"/>
    <n v="-5"/>
    <n v="5"/>
    <n v="3"/>
    <s v="Average"/>
  </r>
  <r>
    <x v="95"/>
    <n v="509"/>
    <n v="899"/>
    <x v="91"/>
    <n v="0.43381535038932145"/>
    <s v="High Discount"/>
    <n v="-5"/>
    <n v="5"/>
    <n v="3"/>
    <s v="Average"/>
  </r>
  <r>
    <x v="96"/>
    <n v="1189"/>
    <n v="2199"/>
    <x v="92"/>
    <n v="0.45929968167348795"/>
    <s v="High Discount"/>
    <n v="-1"/>
    <n v="1"/>
    <n v="3"/>
    <s v="Average"/>
  </r>
  <r>
    <x v="97"/>
    <n v="1220"/>
    <n v="1555"/>
    <x v="93"/>
    <n v="0.21543408360128619"/>
    <s v="Medium Discount"/>
    <n v="-16"/>
    <n v="16"/>
    <n v="2.9"/>
    <s v="Poor"/>
  </r>
  <r>
    <x v="98"/>
    <n v="445"/>
    <n v="873"/>
    <x v="94"/>
    <n v="0.49026345933562426"/>
    <s v="High Discount"/>
    <n v="-69"/>
    <n v="69"/>
    <n v="2.8"/>
    <s v="Poor"/>
  </r>
  <r>
    <x v="99"/>
    <n v="325"/>
    <n v="680"/>
    <x v="95"/>
    <n v="0.5220588235294118"/>
    <s v="High Discount"/>
    <n v="-15"/>
    <n v="15"/>
    <n v="2.7"/>
    <s v="Poor"/>
  </r>
  <r>
    <x v="100"/>
    <n v="382"/>
    <n v="700"/>
    <x v="96"/>
    <n v="0.45428571428571429"/>
    <s v="High Discount"/>
    <n v="-17"/>
    <n v="17"/>
    <n v="2.6"/>
    <s v="Poor"/>
  </r>
  <r>
    <x v="101"/>
    <n v="2170"/>
    <n v="2500"/>
    <x v="97"/>
    <n v="0.13200000000000001"/>
    <s v="Low Discount"/>
    <n v="-6"/>
    <n v="6"/>
    <n v="2.5"/>
    <s v="Poor"/>
  </r>
  <r>
    <x v="102"/>
    <n v="1000"/>
    <n v="2000"/>
    <x v="35"/>
    <n v="0.5"/>
    <s v="High Discount"/>
    <n v="-7"/>
    <n v="7"/>
    <n v="2.2999999999999998"/>
    <s v="Poor"/>
  </r>
  <r>
    <x v="103"/>
    <n v="345"/>
    <n v="602"/>
    <x v="98"/>
    <n v="0.42691029900332228"/>
    <s v="High Discount"/>
    <n v="-6"/>
    <n v="6"/>
    <n v="2.2999999999999998"/>
    <s v="Poor"/>
  </r>
  <r>
    <x v="104"/>
    <n v="990"/>
    <n v="1814"/>
    <x v="99"/>
    <n v="0.45424476295479604"/>
    <s v="High Discount"/>
    <n v="-6"/>
    <n v="6"/>
    <n v="2.2000000000000002"/>
    <s v="Poor"/>
  </r>
  <r>
    <x v="105"/>
    <n v="968"/>
    <n v="1814"/>
    <x v="100"/>
    <n v="0.46637265711135611"/>
    <s v="High Discount"/>
    <n v="-6"/>
    <n v="6"/>
    <n v="2.2000000000000002"/>
    <s v="Poor"/>
  </r>
  <r>
    <x v="106"/>
    <n v="2115"/>
    <n v="4700"/>
    <x v="101"/>
    <n v="0.55000000000000004"/>
    <s v="High Discount"/>
    <n v="-13"/>
    <n v="13"/>
    <n v="2.1"/>
    <s v="Poor"/>
  </r>
  <r>
    <x v="107"/>
    <n v="1570"/>
    <n v="2988"/>
    <x v="102"/>
    <n v="0.4745649263721553"/>
    <s v="High Discount"/>
    <n v="-7"/>
    <n v="7"/>
    <n v="2.1"/>
    <s v="Poor"/>
  </r>
  <r>
    <x v="108"/>
    <n v="450"/>
    <n v="900"/>
    <x v="44"/>
    <n v="0.5"/>
    <s v="High Discount"/>
    <n v="-1"/>
    <n v="1"/>
    <n v="2"/>
    <s v="Poor"/>
  </r>
  <r>
    <x v="109"/>
    <m/>
    <m/>
    <x v="103"/>
    <n v="0.36714123251752778"/>
    <s v="Medium Discount"/>
    <m/>
    <n v="723"/>
    <n v="3.88973214285714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11">
    <pivotField showAll="0"/>
    <pivotField showAll="0"/>
    <pivotField showAll="0"/>
    <pivotField dataField="1" showAll="0">
      <items count="16">
        <item x="0"/>
        <item x="1"/>
        <item x="2"/>
        <item x="3"/>
        <item x="4"/>
        <item x="5"/>
        <item x="6"/>
        <item x="7"/>
        <item x="8"/>
        <item x="9"/>
        <item x="10"/>
        <item x="11"/>
        <item x="12"/>
        <item x="13"/>
        <item x="14"/>
        <item t="default"/>
      </items>
    </pivotField>
    <pivotField showAll="0"/>
    <pivotField showAll="0">
      <items count="10">
        <item x="0"/>
        <item x="1"/>
        <item x="2"/>
        <item x="3"/>
        <item x="4"/>
        <item x="5"/>
        <item x="6"/>
        <item x="7"/>
        <item x="8"/>
        <item t="default"/>
      </items>
    </pivotField>
    <pivotField axis="axisRow" showAll="0">
      <items count="5">
        <item x="1"/>
        <item x="2"/>
        <item x="0"/>
        <item x="3"/>
        <item t="default"/>
      </items>
    </pivotField>
    <pivotField showAll="0"/>
    <pivotField showAll="0"/>
    <pivotField dataField="1" showAll="0"/>
    <pivotField showAll="0">
      <items count="6">
        <item x="1"/>
        <item x="0"/>
        <item x="2"/>
        <item x="3"/>
        <item x="4"/>
        <item t="default"/>
      </items>
    </pivotField>
  </pivotFields>
  <rowFields count="1">
    <field x="6"/>
  </rowFields>
  <rowItems count="5">
    <i>
      <x/>
    </i>
    <i>
      <x v="1"/>
    </i>
    <i>
      <x v="2"/>
    </i>
    <i>
      <x v="3"/>
    </i>
    <i t="grand">
      <x/>
    </i>
  </rowItems>
  <colFields count="1">
    <field x="-2"/>
  </colFields>
  <colItems count="2">
    <i>
      <x/>
    </i>
    <i i="1">
      <x v="1"/>
    </i>
  </colItems>
  <dataFields count="2">
    <dataField name="Average of Rating" fld="9" subtotal="average" baseField="6" baseItem="0"/>
    <dataField name="Average of Discount Amount"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1">
    <pivotField dataField="1" showAll="0">
      <items count="111">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x="109"/>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10">
        <item x="0"/>
        <item x="1"/>
        <item x="2"/>
        <item x="3"/>
        <item x="4"/>
        <item x="5"/>
        <item x="6"/>
        <item x="7"/>
        <item x="8"/>
        <item t="default"/>
      </items>
    </pivotField>
    <pivotField showAll="0">
      <items count="5">
        <item x="1"/>
        <item x="2"/>
        <item x="0"/>
        <item x="3"/>
        <item t="default"/>
      </items>
    </pivotField>
    <pivotField showAll="0"/>
    <pivotField showAll="0"/>
    <pivotField showAll="0"/>
    <pivotField axis="axisRow" showAll="0">
      <items count="6">
        <item x="1"/>
        <item x="0"/>
        <item x="2"/>
        <item x="3"/>
        <item x="4"/>
        <item t="default"/>
      </items>
    </pivotField>
  </pivotFields>
  <rowFields count="1">
    <field x="10"/>
  </rowFields>
  <rowItems count="6">
    <i>
      <x/>
    </i>
    <i>
      <x v="1"/>
    </i>
    <i>
      <x v="2"/>
    </i>
    <i>
      <x v="3"/>
    </i>
    <i>
      <x v="4"/>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1">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axis="axisRow" showAll="0">
      <items count="10">
        <item h="1" x="0"/>
        <item x="1"/>
        <item x="2"/>
        <item x="3"/>
        <item x="4"/>
        <item x="5"/>
        <item x="6"/>
        <item x="7"/>
        <item x="8"/>
        <item t="default"/>
      </items>
    </pivotField>
    <pivotField showAll="0">
      <items count="5">
        <item x="1"/>
        <item x="2"/>
        <item x="0"/>
        <item x="3"/>
        <item t="default"/>
      </items>
    </pivotField>
    <pivotField showAll="0"/>
    <pivotField dataField="1" showAll="0"/>
    <pivotField showAll="0"/>
    <pivotField showAll="0">
      <items count="6">
        <item x="1"/>
        <item x="0"/>
        <item x="2"/>
        <item x="3"/>
        <item x="4"/>
        <item t="default"/>
      </items>
    </pivotField>
  </pivotFields>
  <rowFields count="1">
    <field x="5"/>
  </rowFields>
  <rowItems count="8">
    <i>
      <x v="1"/>
    </i>
    <i>
      <x v="2"/>
    </i>
    <i>
      <x v="3"/>
    </i>
    <i>
      <x v="4"/>
    </i>
    <i>
      <x v="5"/>
    </i>
    <i>
      <x v="6"/>
    </i>
    <i>
      <x v="7"/>
    </i>
    <i t="grand">
      <x/>
    </i>
  </rowItems>
  <colItems count="1">
    <i/>
  </colItems>
  <dataFields count="1">
    <dataField name="Count of Review2" fld="8" subtotal="count" baseField="0" baseItem="0"/>
  </dataFields>
  <formats count="4">
    <format dxfId="7">
      <pivotArea dataOnly="0" labelOnly="1" fieldPosition="0">
        <references count="1">
          <reference field="5" count="7">
            <x v="1"/>
            <x v="2"/>
            <x v="3"/>
            <x v="4"/>
            <x v="5"/>
            <x v="6"/>
            <x v="7"/>
          </reference>
        </references>
      </pivotArea>
    </format>
    <format dxfId="6">
      <pivotArea dataOnly="0" labelOnly="1" fieldPosition="0">
        <references count="1">
          <reference field="5" count="7">
            <x v="1"/>
            <x v="2"/>
            <x v="3"/>
            <x v="4"/>
            <x v="5"/>
            <x v="6"/>
            <x v="7"/>
          </reference>
        </references>
      </pivotArea>
    </format>
    <format dxfId="5">
      <pivotArea dataOnly="0" labelOnly="1" fieldPosition="0">
        <references count="1">
          <reference field="5" count="7">
            <x v="1"/>
            <x v="2"/>
            <x v="3"/>
            <x v="4"/>
            <x v="5"/>
            <x v="6"/>
            <x v="7"/>
          </reference>
        </references>
      </pivotArea>
    </format>
    <format dxfId="4">
      <pivotArea dataOnly="0" labelOnly="1" fieldPosition="0">
        <references count="1">
          <reference field="5" count="7">
            <x v="1"/>
            <x v="2"/>
            <x v="3"/>
            <x v="4"/>
            <x v="5"/>
            <x v="6"/>
            <x v="7"/>
          </reference>
        </references>
      </pivotArea>
    </format>
  </format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6" firstHeaderRow="1" firstDataRow="1" firstDataCol="1"/>
  <pivotFields count="11">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pivotField showAll="0">
      <items count="5">
        <item x="1"/>
        <item x="2"/>
        <item x="0"/>
        <item x="3"/>
        <item t="default"/>
      </items>
    </pivotField>
    <pivotField showAll="0"/>
    <pivotField dataField="1" showAll="0"/>
    <pivotField axis="axisRow" showAll="0">
      <items count="25">
        <item x="22"/>
        <item x="15"/>
        <item x="19"/>
        <item x="20"/>
        <item x="13"/>
        <item x="21"/>
        <item x="17"/>
        <item x="16"/>
        <item x="18"/>
        <item x="14"/>
        <item x="9"/>
        <item x="6"/>
        <item h="1" x="23"/>
        <item x="5"/>
        <item x="1"/>
        <item x="7"/>
        <item x="12"/>
        <item x="11"/>
        <item x="0"/>
        <item x="2"/>
        <item x="3"/>
        <item x="4"/>
        <item x="8"/>
        <item h="1" x="10"/>
        <item t="default"/>
      </items>
    </pivotField>
    <pivotField showAll="0">
      <items count="6">
        <item x="1"/>
        <item x="0"/>
        <item x="2"/>
        <item x="3"/>
        <item x="4"/>
        <item t="default"/>
      </items>
    </pivotField>
  </pivotFields>
  <rowFields count="1">
    <field x="9"/>
  </rowFields>
  <rowItems count="23">
    <i>
      <x/>
    </i>
    <i>
      <x v="1"/>
    </i>
    <i>
      <x v="2"/>
    </i>
    <i>
      <x v="3"/>
    </i>
    <i>
      <x v="4"/>
    </i>
    <i>
      <x v="5"/>
    </i>
    <i>
      <x v="6"/>
    </i>
    <i>
      <x v="7"/>
    </i>
    <i>
      <x v="8"/>
    </i>
    <i>
      <x v="9"/>
    </i>
    <i>
      <x v="10"/>
    </i>
    <i>
      <x v="11"/>
    </i>
    <i>
      <x v="13"/>
    </i>
    <i>
      <x v="14"/>
    </i>
    <i>
      <x v="15"/>
    </i>
    <i>
      <x v="16"/>
    </i>
    <i>
      <x v="17"/>
    </i>
    <i>
      <x v="18"/>
    </i>
    <i>
      <x v="19"/>
    </i>
    <i>
      <x v="20"/>
    </i>
    <i>
      <x v="21"/>
    </i>
    <i>
      <x v="22"/>
    </i>
    <i t="grand">
      <x/>
    </i>
  </rowItems>
  <colItems count="1">
    <i/>
  </colItems>
  <dataFields count="1">
    <dataField name="Sum of Review2" fld="8" baseField="9"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showAll="0"/>
    <pivotField showAll="0"/>
    <pivotField showAll="0"/>
    <pivotField axis="axisRow" showAll="0">
      <items count="16">
        <item h="1" x="0"/>
        <item x="1"/>
        <item x="2"/>
        <item x="3"/>
        <item x="4"/>
        <item x="5"/>
        <item x="6"/>
        <item x="7"/>
        <item x="8"/>
        <item x="9"/>
        <item x="10"/>
        <item x="11"/>
        <item x="12"/>
        <item x="13"/>
        <item x="14"/>
        <item t="default"/>
      </items>
    </pivotField>
    <pivotField showAll="0"/>
    <pivotField showAll="0">
      <items count="10">
        <item x="0"/>
        <item x="1"/>
        <item x="2"/>
        <item x="3"/>
        <item x="4"/>
        <item x="5"/>
        <item x="6"/>
        <item x="7"/>
        <item x="8"/>
        <item t="default"/>
      </items>
    </pivotField>
    <pivotField showAll="0">
      <items count="5">
        <item x="1"/>
        <item x="2"/>
        <item x="0"/>
        <item x="3"/>
        <item t="default"/>
      </items>
    </pivotField>
    <pivotField showAll="0"/>
    <pivotField dataField="1" showAll="0"/>
    <pivotField showAll="0"/>
    <pivotField showAll="0">
      <items count="6">
        <item x="1"/>
        <item x="0"/>
        <item x="2"/>
        <item x="3"/>
        <item x="4"/>
        <item t="default"/>
      </items>
    </pivotField>
  </pivotFields>
  <rowFields count="1">
    <field x="3"/>
  </rowFields>
  <rowItems count="13">
    <i>
      <x v="1"/>
    </i>
    <i>
      <x v="2"/>
    </i>
    <i>
      <x v="3"/>
    </i>
    <i>
      <x v="4"/>
    </i>
    <i>
      <x v="5"/>
    </i>
    <i>
      <x v="6"/>
    </i>
    <i>
      <x v="7"/>
    </i>
    <i>
      <x v="8"/>
    </i>
    <i>
      <x v="9"/>
    </i>
    <i>
      <x v="10"/>
    </i>
    <i>
      <x v="12"/>
    </i>
    <i>
      <x v="13"/>
    </i>
    <i t="grand">
      <x/>
    </i>
  </rowItems>
  <colItems count="1">
    <i/>
  </colItems>
  <dataFields count="1">
    <dataField name="Sum of Review2" fld="8" baseField="3" baseItem="1"/>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1">
    <pivotField showAll="0"/>
    <pivotField showAll="0"/>
    <pivotField showAll="0"/>
    <pivotField showAll="0"/>
    <pivotField showAll="0"/>
    <pivotField showAll="0"/>
    <pivotField showAll="0">
      <items count="5">
        <item x="1"/>
        <item x="2"/>
        <item x="0"/>
        <item x="3"/>
        <item t="default"/>
      </items>
    </pivotField>
    <pivotField showAll="0"/>
    <pivotField dataField="1" showAll="0"/>
    <pivotField showAll="0">
      <items count="25">
        <item x="22"/>
        <item x="15"/>
        <item x="19"/>
        <item x="20"/>
        <item x="13"/>
        <item x="21"/>
        <item x="17"/>
        <item x="16"/>
        <item x="18"/>
        <item x="14"/>
        <item x="9"/>
        <item x="6"/>
        <item x="23"/>
        <item x="5"/>
        <item x="1"/>
        <item x="7"/>
        <item x="12"/>
        <item x="11"/>
        <item x="0"/>
        <item x="2"/>
        <item x="3"/>
        <item x="4"/>
        <item x="8"/>
        <item x="10"/>
        <item t="default"/>
      </items>
    </pivotField>
    <pivotField axis="axisRow" showAll="0">
      <items count="6">
        <item x="1"/>
        <item x="0"/>
        <item x="2"/>
        <item x="3"/>
        <item x="4"/>
        <item t="default"/>
      </items>
    </pivotField>
  </pivotFields>
  <rowFields count="1">
    <field x="10"/>
  </rowFields>
  <rowItems count="6">
    <i>
      <x/>
    </i>
    <i>
      <x v="1"/>
    </i>
    <i>
      <x v="2"/>
    </i>
    <i>
      <x v="3"/>
    </i>
    <i>
      <x v="4"/>
    </i>
    <i t="grand">
      <x/>
    </i>
  </rowItems>
  <colItems count="1">
    <i/>
  </colItems>
  <dataFields count="1">
    <dataField name="Sum of Review2" fld="8" baseField="10" baseItem="0"/>
  </dataField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0" count="1" selected="0">
            <x v="0"/>
          </reference>
        </references>
      </pivotArea>
    </chartFormat>
    <chartFormat chart="3" format="16">
      <pivotArea type="data" outline="0" fieldPosition="0">
        <references count="2">
          <reference field="4294967294" count="1" selected="0">
            <x v="0"/>
          </reference>
          <reference field="10" count="1" selected="0">
            <x v="1"/>
          </reference>
        </references>
      </pivotArea>
    </chartFormat>
    <chartFormat chart="3" format="17">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3" format="18">
      <pivotArea type="data" outline="0" fieldPosition="0">
        <references count="2">
          <reference field="4294967294" count="1" selected="0">
            <x v="0"/>
          </reference>
          <reference field="10" count="1" selected="0">
            <x v="2"/>
          </reference>
        </references>
      </pivotArea>
    </chartFormat>
    <chartFormat chart="3" format="19">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0">
    <pivotField axis="axisRow" showAll="0" measureFilter="1" sortType="descending">
      <items count="111">
        <item x="74"/>
        <item x="63"/>
        <item x="71"/>
        <item x="90"/>
        <item x="64"/>
        <item x="98"/>
        <item x="16"/>
        <item x="88"/>
        <item x="67"/>
        <item x="40"/>
        <item x="22"/>
        <item x="84"/>
        <item x="39"/>
        <item x="31"/>
        <item x="9"/>
        <item x="17"/>
        <item x="93"/>
        <item x="102"/>
        <item x="69"/>
        <item x="18"/>
        <item x="91"/>
        <item x="34"/>
        <item x="61"/>
        <item x="3"/>
        <item x="0"/>
        <item x="101"/>
        <item x="83"/>
        <item x="73"/>
        <item x="65"/>
        <item x="21"/>
        <item x="106"/>
        <item x="45"/>
        <item x="51"/>
        <item x="7"/>
        <item x="20"/>
        <item x="105"/>
        <item x="37"/>
        <item x="38"/>
        <item x="100"/>
        <item x="50"/>
        <item x="52"/>
        <item x="104"/>
        <item x="36"/>
        <item x="47"/>
        <item x="57"/>
        <item x="46"/>
        <item x="10"/>
        <item x="8"/>
        <item x="24"/>
        <item x="42"/>
        <item x="6"/>
        <item x="15"/>
        <item x="56"/>
        <item x="48"/>
        <item x="19"/>
        <item x="14"/>
        <item x="85"/>
        <item x="55"/>
        <item x="107"/>
        <item x="70"/>
        <item x="77"/>
        <item x="75"/>
        <item x="82"/>
        <item x="87"/>
        <item x="99"/>
        <item x="58"/>
        <item x="94"/>
        <item x="76"/>
        <item x="54"/>
        <item x="72"/>
        <item x="60"/>
        <item x="2"/>
        <item x="78"/>
        <item x="86"/>
        <item x="41"/>
        <item x="68"/>
        <item x="96"/>
        <item x="81"/>
        <item x="35"/>
        <item x="4"/>
        <item x="80"/>
        <item x="27"/>
        <item x="1"/>
        <item x="13"/>
        <item x="92"/>
        <item x="23"/>
        <item x="25"/>
        <item x="53"/>
        <item x="11"/>
        <item x="12"/>
        <item x="59"/>
        <item x="66"/>
        <item x="33"/>
        <item x="89"/>
        <item x="29"/>
        <item x="79"/>
        <item x="30"/>
        <item x="5"/>
        <item x="43"/>
        <item x="49"/>
        <item x="44"/>
        <item x="97"/>
        <item x="28"/>
        <item x="32"/>
        <item x="108"/>
        <item x="26"/>
        <item x="103"/>
        <item x="62"/>
        <item x="95"/>
        <item x="109"/>
        <item t="default"/>
      </items>
      <autoSortScope>
        <pivotArea dataOnly="0" outline="0" fieldPosition="0">
          <references count="1">
            <reference field="4294967294" count="1" selected="0">
              <x v="0"/>
            </reference>
          </references>
        </pivotArea>
      </autoSortScope>
    </pivotField>
    <pivotField showAll="0"/>
    <pivotField showAll="0"/>
    <pivotField showAll="0">
      <items count="105">
        <item x="36"/>
        <item x="41"/>
        <item x="22"/>
        <item x="5"/>
        <item x="11"/>
        <item x="13"/>
        <item x="40"/>
        <item x="87"/>
        <item x="37"/>
        <item x="19"/>
        <item x="12"/>
        <item x="30"/>
        <item x="25"/>
        <item x="31"/>
        <item x="43"/>
        <item x="32"/>
        <item x="53"/>
        <item x="49"/>
        <item x="56"/>
        <item x="75"/>
        <item x="80"/>
        <item x="20"/>
        <item x="68"/>
        <item x="26"/>
        <item x="23"/>
        <item x="4"/>
        <item x="98"/>
        <item x="24"/>
        <item x="77"/>
        <item x="82"/>
        <item x="10"/>
        <item x="45"/>
        <item x="84"/>
        <item x="96"/>
        <item x="97"/>
        <item x="93"/>
        <item x="52"/>
        <item x="42"/>
        <item x="95"/>
        <item x="70"/>
        <item x="91"/>
        <item x="46"/>
        <item x="94"/>
        <item x="44"/>
        <item x="3"/>
        <item x="27"/>
        <item x="79"/>
        <item x="61"/>
        <item x="48"/>
        <item x="73"/>
        <item x="33"/>
        <item x="18"/>
        <item x="88"/>
        <item x="14"/>
        <item x="69"/>
        <item x="38"/>
        <item x="83"/>
        <item x="7"/>
        <item x="59"/>
        <item x="39"/>
        <item x="50"/>
        <item x="86"/>
        <item x="15"/>
        <item x="8"/>
        <item x="17"/>
        <item x="66"/>
        <item x="63"/>
        <item x="65"/>
        <item x="71"/>
        <item x="64"/>
        <item x="81"/>
        <item x="9"/>
        <item x="47"/>
        <item x="34"/>
        <item x="51"/>
        <item x="78"/>
        <item x="99"/>
        <item x="21"/>
        <item x="100"/>
        <item x="28"/>
        <item x="72"/>
        <item x="62"/>
        <item x="90"/>
        <item x="57"/>
        <item x="58"/>
        <item x="67"/>
        <item x="35"/>
        <item x="6"/>
        <item x="92"/>
        <item x="16"/>
        <item x="55"/>
        <item x="29"/>
        <item x="85"/>
        <item x="0"/>
        <item x="102"/>
        <item x="60"/>
        <item x="76"/>
        <item x="2"/>
        <item x="1"/>
        <item x="54"/>
        <item x="89"/>
        <item x="74"/>
        <item x="101"/>
        <item x="103"/>
        <item t="default"/>
      </items>
    </pivotField>
    <pivotField dataField="1" numFmtId="10" showAll="0"/>
    <pivotField showAll="0"/>
    <pivotField showAll="0"/>
    <pivotField showAll="0"/>
    <pivotField numFmtId="2" showAll="0"/>
    <pivotField showAll="0"/>
  </pivotFields>
  <rowFields count="1">
    <field x="0"/>
  </rowFields>
  <rowItems count="11">
    <i>
      <x v="53"/>
    </i>
    <i>
      <x v="99"/>
    </i>
    <i>
      <x v="39"/>
    </i>
    <i>
      <x v="31"/>
    </i>
    <i>
      <x v="30"/>
    </i>
    <i>
      <x v="70"/>
    </i>
    <i>
      <x v="67"/>
    </i>
    <i>
      <x v="84"/>
    </i>
    <i>
      <x v="20"/>
    </i>
    <i>
      <x v="52"/>
    </i>
    <i t="grand">
      <x/>
    </i>
  </rowItems>
  <colItems count="1">
    <i/>
  </colItems>
  <dataFields count="1">
    <dataField name="Sum of Discount" fld="4" baseField="0" baseItem="0"/>
  </dataFields>
  <formats count="3">
    <format dxfId="2">
      <pivotArea collapsedLevelsAreSubtotals="1" fieldPosition="0">
        <references count="1">
          <reference field="0" count="10">
            <x v="20"/>
            <x v="30"/>
            <x v="31"/>
            <x v="39"/>
            <x v="52"/>
            <x v="53"/>
            <x v="67"/>
            <x v="70"/>
            <x v="84"/>
            <x v="99"/>
          </reference>
        </references>
      </pivotArea>
    </format>
    <format dxfId="1">
      <pivotArea collapsedLevelsAreSubtotals="1" fieldPosition="0">
        <references count="1">
          <reference field="0" count="10">
            <x v="20"/>
            <x v="30"/>
            <x v="31"/>
            <x v="39"/>
            <x v="52"/>
            <x v="53"/>
            <x v="67"/>
            <x v="70"/>
            <x v="84"/>
            <x v="99"/>
          </reference>
        </references>
      </pivotArea>
    </format>
    <format dxfId="0">
      <pivotArea collapsedLevelsAreSubtotals="1" fieldPosition="0">
        <references count="2">
          <reference field="4294967294" count="1" selected="0">
            <x v="0"/>
          </reference>
          <reference field="0"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11">
    <pivotField axis="axisRow" showAll="0" measureFilter="1" sortType="descending">
      <items count="111">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2"/>
        <item x="0"/>
        <item x="3"/>
        <item t="default"/>
      </items>
    </pivotField>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pivotField showAll="0">
      <items count="6">
        <item x="1"/>
        <item x="0"/>
        <item x="2"/>
        <item x="3"/>
        <item x="4"/>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2"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11">
    <pivotField axis="axisRow" showAll="0" measureFilter="1" sortType="descending">
      <items count="111">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0">
        <item x="0"/>
        <item x="1"/>
        <item x="2"/>
        <item x="3"/>
        <item x="4"/>
        <item x="5"/>
        <item x="6"/>
        <item x="7"/>
        <item x="8"/>
        <item t="default"/>
      </items>
    </pivotField>
    <pivotField showAll="0">
      <items count="5">
        <item x="1"/>
        <item x="2"/>
        <item x="0"/>
        <item x="3"/>
        <item t="default"/>
      </items>
    </pivotField>
    <pivotField showAll="0"/>
    <pivotField showAll="0"/>
    <pivotField dataField="1"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items count="6">
        <item x="1"/>
        <item x="0"/>
        <item x="2"/>
        <item x="3"/>
        <item x="4"/>
        <item t="default"/>
      </items>
    </pivotField>
  </pivotFields>
  <rowFields count="1">
    <field x="0"/>
  </rowFields>
  <rowItems count="11">
    <i>
      <x v="52"/>
    </i>
    <i>
      <x v="68"/>
    </i>
    <i>
      <x v="65"/>
    </i>
    <i>
      <x v="40"/>
    </i>
    <i>
      <x v="87"/>
    </i>
    <i>
      <x v="44"/>
    </i>
    <i>
      <x v="57"/>
    </i>
    <i>
      <x v="70"/>
    </i>
    <i>
      <x v="90"/>
    </i>
    <i>
      <x v="22"/>
    </i>
    <i t="grand">
      <x/>
    </i>
  </rowItems>
  <colItems count="1">
    <i/>
  </colItems>
  <dataFields count="1">
    <dataField name="Sum of Rating" fld="9"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dataField="1" showAll="0">
      <items count="111">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x="109"/>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oduc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Amount" sourceName="Discount Amount">
  <pivotTables>
    <pivotTable tabId="7" name="PivotTable5"/>
  </pivotTables>
  <data>
    <tabular pivotCacheId="1">
      <items count="15">
        <i x="6" s="1"/>
        <i x="7" s="1"/>
        <i x="8" s="1"/>
        <i x="9" s="1"/>
        <i x="10" s="1"/>
        <i x="12" s="1"/>
        <i x="2" s="1"/>
        <i x="1" s="1"/>
        <i x="13" s="1"/>
        <i x="3" s="1"/>
        <i x="4" s="1"/>
        <i x="5" s="1"/>
        <i x="0" nd="1"/>
        <i x="14"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4" name="PivotTable2"/>
    <pivotTable tabId="3" name="PivotTable1"/>
    <pivotTable tabId="7" name="PivotTable5"/>
    <pivotTable tabId="8" name="PivotTable6"/>
    <pivotTable tabId="5" name="PivotTable3"/>
    <pivotTable tabId="6" name="PivotTable4"/>
    <pivotTable tabId="14" name="PivotTable1"/>
    <pivotTable tabId="15" name="PivotTable2"/>
  </pivotTables>
  <data>
    <tabular pivotCacheId="1">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3" name="PivotTable1"/>
    <pivotTable tabId="7" name="PivotTable5"/>
    <pivotTable tabId="8" name="PivotTable6"/>
    <pivotTable tabId="4" name="PivotTable2"/>
    <pivotTable tabId="5" name="PivotTable3"/>
    <pivotTable tabId="6" name="PivotTable4"/>
    <pivotTable tabId="14" name="PivotTable1"/>
    <pivotTable tabId="15" name="PivotTable2"/>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tegory" cache="Slicer_Discount_Category" caption="Discount Category"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ing Category" cache="Slicer_Rating_Category" caption="Rating Category"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iscount Amount" cache="Slicer_Discount_Amount" caption="Discount Amount"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ating Category 1" cache="Slicer_Rating_Category" caption="Rating Category" style="SlicerStyleDark2" rowHeight="241300"/>
  <slicer name="Discount Category 1" cache="Slicer_Discount_Category" caption="Discount Category"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E10" sqref="E10"/>
    </sheetView>
  </sheetViews>
  <sheetFormatPr defaultRowHeight="14.5" x14ac:dyDescent="0.35"/>
  <cols>
    <col min="1" max="1" width="15.6328125" bestFit="1" customWidth="1"/>
    <col min="2" max="2" width="15.54296875" bestFit="1" customWidth="1"/>
    <col min="3" max="3" width="25.1796875" bestFit="1" customWidth="1"/>
  </cols>
  <sheetData>
    <row r="3" spans="1:3" x14ac:dyDescent="0.35">
      <c r="A3" s="7" t="s">
        <v>118</v>
      </c>
      <c r="B3" t="s">
        <v>124</v>
      </c>
      <c r="C3" t="s">
        <v>123</v>
      </c>
    </row>
    <row r="4" spans="1:3" x14ac:dyDescent="0.35">
      <c r="A4" s="8" t="s">
        <v>119</v>
      </c>
      <c r="B4" s="9">
        <v>3.6133333333333324</v>
      </c>
      <c r="C4" s="9">
        <v>705.12903225806451</v>
      </c>
    </row>
    <row r="5" spans="1:3" x14ac:dyDescent="0.35">
      <c r="A5" s="8" t="s">
        <v>120</v>
      </c>
      <c r="B5" s="9">
        <v>3.7249999999999996</v>
      </c>
      <c r="C5" s="9">
        <v>175.66666666666666</v>
      </c>
    </row>
    <row r="6" spans="1:3" x14ac:dyDescent="0.35">
      <c r="A6" s="8" t="s">
        <v>121</v>
      </c>
      <c r="B6" s="9">
        <v>4.2782608695652184</v>
      </c>
      <c r="C6" s="9">
        <v>719.75</v>
      </c>
    </row>
    <row r="7" spans="1:3" x14ac:dyDescent="0.35">
      <c r="A7" s="8" t="s">
        <v>153</v>
      </c>
      <c r="B7" s="9">
        <v>3.8894736842105258</v>
      </c>
      <c r="C7" s="9"/>
    </row>
    <row r="8" spans="1:3" x14ac:dyDescent="0.35">
      <c r="A8" s="8" t="s">
        <v>122</v>
      </c>
      <c r="B8" s="9">
        <v>3.8894736842105249</v>
      </c>
      <c r="C8" s="9">
        <v>624.21428571428567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3" sqref="B3"/>
    </sheetView>
  </sheetViews>
  <sheetFormatPr defaultRowHeight="14.5" x14ac:dyDescent="0.35"/>
  <cols>
    <col min="1" max="1" width="12.36328125" customWidth="1"/>
    <col min="2" max="2" width="15.26953125" customWidth="1"/>
    <col min="3" max="3" width="50.08984375" bestFit="1" customWidth="1"/>
    <col min="4" max="4" width="47.90625" bestFit="1" customWidth="1"/>
    <col min="5" max="5" width="29.453125" bestFit="1" customWidth="1"/>
    <col min="6" max="6" width="28.90625" bestFit="1" customWidth="1"/>
    <col min="7" max="7" width="58.26953125" bestFit="1" customWidth="1"/>
    <col min="8" max="8" width="61.08984375" bestFit="1" customWidth="1"/>
    <col min="9" max="9" width="32.36328125" bestFit="1" customWidth="1"/>
    <col min="10" max="10" width="44.81640625" bestFit="1" customWidth="1"/>
    <col min="11" max="11" width="39.6328125" bestFit="1" customWidth="1"/>
    <col min="12" max="12" width="65.36328125" bestFit="1" customWidth="1"/>
    <col min="13" max="13" width="60.6328125" bestFit="1" customWidth="1"/>
    <col min="14" max="14" width="62.453125" bestFit="1" customWidth="1"/>
    <col min="15" max="15" width="49.36328125" bestFit="1" customWidth="1"/>
    <col min="16" max="16" width="36.90625" bestFit="1" customWidth="1"/>
    <col min="17" max="17" width="57.54296875" bestFit="1" customWidth="1"/>
    <col min="18" max="18" width="66.26953125" bestFit="1" customWidth="1"/>
    <col min="19" max="19" width="52.7265625" bestFit="1" customWidth="1"/>
    <col min="20" max="20" width="46.26953125" bestFit="1" customWidth="1"/>
    <col min="21" max="21" width="38.1796875" bestFit="1" customWidth="1"/>
    <col min="22" max="22" width="46.453125" bestFit="1" customWidth="1"/>
    <col min="23" max="23" width="41.7265625" bestFit="1" customWidth="1"/>
    <col min="24" max="24" width="34.453125" bestFit="1" customWidth="1"/>
    <col min="25" max="25" width="45" bestFit="1" customWidth="1"/>
    <col min="26" max="26" width="61.1796875" bestFit="1" customWidth="1"/>
    <col min="27" max="27" width="45.36328125" bestFit="1" customWidth="1"/>
    <col min="28" max="28" width="50.26953125" bestFit="1" customWidth="1"/>
    <col min="29" max="29" width="52.6328125" bestFit="1" customWidth="1"/>
    <col min="30" max="30" width="53.36328125" bestFit="1" customWidth="1"/>
    <col min="31" max="31" width="90.1796875" bestFit="1" customWidth="1"/>
    <col min="32" max="32" width="49.54296875" bestFit="1" customWidth="1"/>
    <col min="33" max="33" width="46.36328125" bestFit="1" customWidth="1"/>
    <col min="34" max="34" width="54.36328125" bestFit="1" customWidth="1"/>
    <col min="35" max="35" width="56.1796875" bestFit="1" customWidth="1"/>
    <col min="36" max="36" width="60.7265625" bestFit="1" customWidth="1"/>
    <col min="37" max="37" width="50.90625" bestFit="1" customWidth="1"/>
    <col min="38" max="38" width="27.54296875" bestFit="1" customWidth="1"/>
    <col min="39" max="39" width="59.08984375" bestFit="1" customWidth="1"/>
    <col min="40" max="40" width="48" bestFit="1" customWidth="1"/>
    <col min="41" max="41" width="51.81640625" bestFit="1" customWidth="1"/>
    <col min="42" max="42" width="48.6328125" bestFit="1" customWidth="1"/>
    <col min="43" max="43" width="51.81640625" bestFit="1" customWidth="1"/>
    <col min="44" max="44" width="53.08984375" bestFit="1" customWidth="1"/>
    <col min="45" max="45" width="46.26953125" bestFit="1" customWidth="1"/>
    <col min="46" max="46" width="62.54296875" bestFit="1" customWidth="1"/>
    <col min="47" max="47" width="49.81640625" bestFit="1" customWidth="1"/>
    <col min="48" max="48" width="33.453125" bestFit="1" customWidth="1"/>
    <col min="49" max="49" width="22.7265625" bestFit="1" customWidth="1"/>
    <col min="50" max="50" width="53.08984375" bestFit="1" customWidth="1"/>
    <col min="51" max="51" width="59.453125" bestFit="1" customWidth="1"/>
    <col min="52" max="52" width="53" bestFit="1" customWidth="1"/>
    <col min="53" max="53" width="55.6328125" bestFit="1" customWidth="1"/>
    <col min="54" max="54" width="48.6328125" bestFit="1" customWidth="1"/>
    <col min="55" max="55" width="30.1796875" bestFit="1" customWidth="1"/>
    <col min="56" max="56" width="65" bestFit="1" customWidth="1"/>
    <col min="57" max="57" width="52.26953125" bestFit="1" customWidth="1"/>
    <col min="58" max="58" width="50.08984375" bestFit="1" customWidth="1"/>
    <col min="59" max="59" width="65.1796875" bestFit="1" customWidth="1"/>
    <col min="60" max="60" width="67.81640625" bestFit="1" customWidth="1"/>
    <col min="61" max="61" width="34.6328125" bestFit="1" customWidth="1"/>
    <col min="62" max="62" width="35.7265625" bestFit="1" customWidth="1"/>
    <col min="63" max="63" width="25.81640625" bestFit="1" customWidth="1"/>
    <col min="64" max="64" width="69.36328125" bestFit="1" customWidth="1"/>
    <col min="65" max="65" width="30.453125" bestFit="1" customWidth="1"/>
    <col min="66" max="66" width="52.453125" bestFit="1" customWidth="1"/>
    <col min="67" max="67" width="63.54296875" bestFit="1" customWidth="1"/>
    <col min="68" max="68" width="46.81640625" bestFit="1" customWidth="1"/>
    <col min="69" max="69" width="39.54296875" bestFit="1" customWidth="1"/>
    <col min="70" max="70" width="44.7265625" bestFit="1" customWidth="1"/>
    <col min="71" max="71" width="37.81640625" bestFit="1" customWidth="1"/>
    <col min="72" max="72" width="32.6328125" bestFit="1" customWidth="1"/>
    <col min="73" max="73" width="54.90625" bestFit="1" customWidth="1"/>
    <col min="74" max="74" width="66.6328125" bestFit="1" customWidth="1"/>
    <col min="75" max="75" width="69.90625" bestFit="1" customWidth="1"/>
    <col min="76" max="76" width="30.1796875" bestFit="1" customWidth="1"/>
    <col min="77" max="77" width="56.08984375" bestFit="1" customWidth="1"/>
    <col min="78" max="78" width="53.08984375" bestFit="1" customWidth="1"/>
    <col min="79" max="79" width="68.81640625" bestFit="1" customWidth="1"/>
    <col min="80" max="80" width="67.6328125" bestFit="1" customWidth="1"/>
    <col min="81" max="81" width="45.90625" bestFit="1" customWidth="1"/>
    <col min="82" max="82" width="43.26953125" bestFit="1" customWidth="1"/>
    <col min="83" max="83" width="50.90625" bestFit="1" customWidth="1"/>
    <col min="84" max="84" width="44.26953125" bestFit="1" customWidth="1"/>
    <col min="85" max="85" width="65.26953125" bestFit="1" customWidth="1"/>
    <col min="86" max="86" width="70.1796875" bestFit="1" customWidth="1"/>
    <col min="87" max="87" width="67.36328125" bestFit="1" customWidth="1"/>
    <col min="88" max="88" width="57.08984375" bestFit="1" customWidth="1"/>
    <col min="89" max="89" width="43.54296875" bestFit="1" customWidth="1"/>
    <col min="90" max="90" width="51.90625" bestFit="1" customWidth="1"/>
    <col min="91" max="91" width="50.7265625" bestFit="1" customWidth="1"/>
    <col min="92" max="92" width="48.54296875" bestFit="1" customWidth="1"/>
    <col min="93" max="93" width="43" bestFit="1" customWidth="1"/>
    <col min="94" max="94" width="58.08984375" bestFit="1" customWidth="1"/>
    <col min="95" max="95" width="64.08984375" bestFit="1" customWidth="1"/>
    <col min="96" max="96" width="40.36328125" bestFit="1" customWidth="1"/>
    <col min="97" max="97" width="62.08984375" bestFit="1" customWidth="1"/>
    <col min="98" max="98" width="67.81640625" bestFit="1" customWidth="1"/>
    <col min="99" max="99" width="52.81640625" bestFit="1" customWidth="1"/>
    <col min="100" max="100" width="70.26953125" bestFit="1" customWidth="1"/>
    <col min="101" max="101" width="51.54296875" bestFit="1" customWidth="1"/>
    <col min="102" max="102" width="64.81640625" bestFit="1" customWidth="1"/>
    <col min="103" max="103" width="73.453125" bestFit="1" customWidth="1"/>
    <col min="104" max="104" width="28.36328125" bestFit="1" customWidth="1"/>
    <col min="105" max="105" width="74.7265625" bestFit="1" customWidth="1"/>
    <col min="106" max="106" width="37.7265625" bestFit="1" customWidth="1"/>
    <col min="107" max="107" width="56.90625" bestFit="1" customWidth="1"/>
    <col min="108" max="108" width="43.08984375" bestFit="1" customWidth="1"/>
    <col min="109" max="109" width="49.81640625" bestFit="1" customWidth="1"/>
    <col min="110" max="110" width="58.453125" bestFit="1" customWidth="1"/>
    <col min="111" max="111" width="6.7265625" customWidth="1"/>
    <col min="112" max="112" width="10.7265625" bestFit="1" customWidth="1"/>
  </cols>
  <sheetData>
    <row r="3" spans="1:2" x14ac:dyDescent="0.35">
      <c r="A3" s="7" t="s">
        <v>118</v>
      </c>
      <c r="B3" t="s">
        <v>128</v>
      </c>
    </row>
    <row r="4" spans="1:2" x14ac:dyDescent="0.35">
      <c r="A4" s="8" t="s">
        <v>125</v>
      </c>
      <c r="B4" s="9">
        <v>22</v>
      </c>
    </row>
    <row r="5" spans="1:2" x14ac:dyDescent="0.35">
      <c r="A5" s="8" t="s">
        <v>126</v>
      </c>
      <c r="B5" s="9">
        <v>23</v>
      </c>
    </row>
    <row r="6" spans="1:2" x14ac:dyDescent="0.35">
      <c r="A6" s="8" t="s">
        <v>152</v>
      </c>
      <c r="B6" s="9">
        <v>55</v>
      </c>
    </row>
    <row r="7" spans="1:2" x14ac:dyDescent="0.35">
      <c r="A7" s="8" t="s">
        <v>127</v>
      </c>
      <c r="B7" s="9">
        <v>12</v>
      </c>
    </row>
    <row r="8" spans="1:2" x14ac:dyDescent="0.35">
      <c r="A8" s="8" t="s">
        <v>153</v>
      </c>
      <c r="B8" s="9"/>
    </row>
    <row r="9" spans="1:2" x14ac:dyDescent="0.35">
      <c r="A9" s="8" t="s">
        <v>122</v>
      </c>
      <c r="B9" s="9">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6" sqref="A6"/>
    </sheetView>
  </sheetViews>
  <sheetFormatPr defaultRowHeight="14.5" x14ac:dyDescent="0.35"/>
  <cols>
    <col min="1" max="1" width="36.08984375" bestFit="1" customWidth="1"/>
    <col min="2" max="2" width="15.54296875" bestFit="1" customWidth="1"/>
  </cols>
  <sheetData>
    <row r="3" spans="1:2" x14ac:dyDescent="0.35">
      <c r="A3" s="7" t="s">
        <v>118</v>
      </c>
      <c r="B3" t="s">
        <v>129</v>
      </c>
    </row>
    <row r="4" spans="1:2" x14ac:dyDescent="0.35">
      <c r="A4" s="13" t="s">
        <v>130</v>
      </c>
      <c r="B4" s="9">
        <v>13</v>
      </c>
    </row>
    <row r="5" spans="1:2" x14ac:dyDescent="0.35">
      <c r="A5" s="13" t="s">
        <v>131</v>
      </c>
      <c r="B5" s="9">
        <v>7</v>
      </c>
    </row>
    <row r="6" spans="1:2" x14ac:dyDescent="0.35">
      <c r="A6" s="13" t="s">
        <v>132</v>
      </c>
      <c r="B6" s="9">
        <v>12</v>
      </c>
    </row>
    <row r="7" spans="1:2" x14ac:dyDescent="0.35">
      <c r="A7" s="13" t="s">
        <v>133</v>
      </c>
      <c r="B7" s="9">
        <v>20</v>
      </c>
    </row>
    <row r="8" spans="1:2" x14ac:dyDescent="0.35">
      <c r="A8" s="13" t="s">
        <v>134</v>
      </c>
      <c r="B8" s="9">
        <v>48</v>
      </c>
    </row>
    <row r="9" spans="1:2" x14ac:dyDescent="0.35">
      <c r="A9" s="13" t="s">
        <v>135</v>
      </c>
      <c r="B9" s="9">
        <v>11</v>
      </c>
    </row>
    <row r="10" spans="1:2" x14ac:dyDescent="0.35">
      <c r="A10" s="13" t="s">
        <v>154</v>
      </c>
      <c r="B10" s="9">
        <v>1</v>
      </c>
    </row>
    <row r="11" spans="1:2" x14ac:dyDescent="0.35">
      <c r="A11" s="8" t="s">
        <v>122</v>
      </c>
      <c r="B11" s="9">
        <v>112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6"/>
  <sheetViews>
    <sheetView topLeftCell="A25" workbookViewId="0">
      <selection activeCell="A20" sqref="A20:B20"/>
    </sheetView>
  </sheetViews>
  <sheetFormatPr defaultRowHeight="14.5" x14ac:dyDescent="0.35"/>
  <cols>
    <col min="1" max="1" width="12.36328125" bestFit="1" customWidth="1"/>
    <col min="2" max="2" width="14.08984375" customWidth="1"/>
  </cols>
  <sheetData>
    <row r="3" spans="1:2" x14ac:dyDescent="0.35">
      <c r="A3" s="7" t="s">
        <v>118</v>
      </c>
      <c r="B3" t="s">
        <v>136</v>
      </c>
    </row>
    <row r="4" spans="1:2" x14ac:dyDescent="0.35">
      <c r="A4" s="8">
        <v>2</v>
      </c>
      <c r="B4" s="9">
        <v>1</v>
      </c>
    </row>
    <row r="5" spans="1:2" x14ac:dyDescent="0.35">
      <c r="A5" s="8">
        <v>2.1</v>
      </c>
      <c r="B5" s="9">
        <v>20</v>
      </c>
    </row>
    <row r="6" spans="1:2" x14ac:dyDescent="0.35">
      <c r="A6" s="8">
        <v>2.2000000000000002</v>
      </c>
      <c r="B6" s="9">
        <v>12</v>
      </c>
    </row>
    <row r="7" spans="1:2" x14ac:dyDescent="0.35">
      <c r="A7" s="8">
        <v>2.2999999999999998</v>
      </c>
      <c r="B7" s="9">
        <v>13</v>
      </c>
    </row>
    <row r="8" spans="1:2" x14ac:dyDescent="0.35">
      <c r="A8" s="8">
        <v>2.5</v>
      </c>
      <c r="B8" s="9">
        <v>6</v>
      </c>
    </row>
    <row r="9" spans="1:2" x14ac:dyDescent="0.35">
      <c r="A9" s="8">
        <v>2.6</v>
      </c>
      <c r="B9" s="9">
        <v>17</v>
      </c>
    </row>
    <row r="10" spans="1:2" x14ac:dyDescent="0.35">
      <c r="A10" s="8">
        <v>2.7</v>
      </c>
      <c r="B10" s="9">
        <v>15</v>
      </c>
    </row>
    <row r="11" spans="1:2" x14ac:dyDescent="0.35">
      <c r="A11" s="8">
        <v>2.8</v>
      </c>
      <c r="B11" s="9">
        <v>69</v>
      </c>
    </row>
    <row r="12" spans="1:2" x14ac:dyDescent="0.35">
      <c r="A12" s="8">
        <v>2.9</v>
      </c>
      <c r="B12" s="9">
        <v>16</v>
      </c>
    </row>
    <row r="13" spans="1:2" x14ac:dyDescent="0.35">
      <c r="A13" s="8">
        <v>3</v>
      </c>
      <c r="B13" s="9">
        <v>26</v>
      </c>
    </row>
    <row r="14" spans="1:2" x14ac:dyDescent="0.35">
      <c r="A14" s="8">
        <v>3.3</v>
      </c>
      <c r="B14" s="9">
        <v>13</v>
      </c>
    </row>
    <row r="15" spans="1:2" x14ac:dyDescent="0.35">
      <c r="A15" s="8">
        <v>3.8</v>
      </c>
      <c r="B15" s="9">
        <v>30</v>
      </c>
    </row>
    <row r="16" spans="1:2" x14ac:dyDescent="0.35">
      <c r="A16" s="8">
        <v>4</v>
      </c>
      <c r="B16" s="9">
        <v>24</v>
      </c>
    </row>
    <row r="17" spans="1:2" x14ac:dyDescent="0.35">
      <c r="A17" s="8">
        <v>4.0999999999999996</v>
      </c>
      <c r="B17" s="9">
        <v>46</v>
      </c>
    </row>
    <row r="18" spans="1:2" x14ac:dyDescent="0.35">
      <c r="A18" s="8">
        <v>4.2</v>
      </c>
      <c r="B18" s="9">
        <v>9</v>
      </c>
    </row>
    <row r="19" spans="1:2" x14ac:dyDescent="0.35">
      <c r="A19" s="8">
        <v>4.3</v>
      </c>
      <c r="B19" s="9">
        <v>61</v>
      </c>
    </row>
    <row r="20" spans="1:2" x14ac:dyDescent="0.35">
      <c r="A20" s="8">
        <v>4.4000000000000004</v>
      </c>
      <c r="B20" s="9">
        <v>14</v>
      </c>
    </row>
    <row r="21" spans="1:2" x14ac:dyDescent="0.35">
      <c r="A21" s="8">
        <v>4.5</v>
      </c>
      <c r="B21" s="9">
        <v>42</v>
      </c>
    </row>
    <row r="22" spans="1:2" x14ac:dyDescent="0.35">
      <c r="A22" s="8">
        <v>4.5999999999999996</v>
      </c>
      <c r="B22" s="9">
        <v>177</v>
      </c>
    </row>
    <row r="23" spans="1:2" x14ac:dyDescent="0.35">
      <c r="A23" s="8">
        <v>4.7</v>
      </c>
      <c r="B23" s="9">
        <v>78</v>
      </c>
    </row>
    <row r="24" spans="1:2" x14ac:dyDescent="0.35">
      <c r="A24" s="8">
        <v>4.8</v>
      </c>
      <c r="B24" s="9">
        <v>22</v>
      </c>
    </row>
    <row r="25" spans="1:2" x14ac:dyDescent="0.35">
      <c r="A25" s="8">
        <v>5</v>
      </c>
      <c r="B25" s="9">
        <v>12</v>
      </c>
    </row>
    <row r="26" spans="1:2" x14ac:dyDescent="0.35">
      <c r="A26" s="8" t="s">
        <v>122</v>
      </c>
      <c r="B26" s="9">
        <v>723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10" workbookViewId="0">
      <selection activeCell="A3" sqref="A3"/>
    </sheetView>
  </sheetViews>
  <sheetFormatPr defaultRowHeight="14.5" x14ac:dyDescent="0.35"/>
  <cols>
    <col min="1" max="1" width="12.36328125" customWidth="1"/>
    <col min="2" max="2" width="14.08984375" customWidth="1"/>
  </cols>
  <sheetData>
    <row r="3" spans="1:2" x14ac:dyDescent="0.35">
      <c r="A3" s="7" t="s">
        <v>118</v>
      </c>
      <c r="B3" t="s">
        <v>136</v>
      </c>
    </row>
    <row r="4" spans="1:2" x14ac:dyDescent="0.35">
      <c r="A4" s="8" t="s">
        <v>137</v>
      </c>
      <c r="B4" s="9">
        <v>38</v>
      </c>
    </row>
    <row r="5" spans="1:2" x14ac:dyDescent="0.35">
      <c r="A5" s="8" t="s">
        <v>138</v>
      </c>
      <c r="B5" s="9">
        <v>174</v>
      </c>
    </row>
    <row r="6" spans="1:2" x14ac:dyDescent="0.35">
      <c r="A6" s="8" t="s">
        <v>139</v>
      </c>
      <c r="B6" s="9">
        <v>186</v>
      </c>
    </row>
    <row r="7" spans="1:2" x14ac:dyDescent="0.35">
      <c r="A7" s="8" t="s">
        <v>140</v>
      </c>
      <c r="B7" s="9">
        <v>190</v>
      </c>
    </row>
    <row r="8" spans="1:2" x14ac:dyDescent="0.35">
      <c r="A8" s="8" t="s">
        <v>141</v>
      </c>
      <c r="B8" s="9">
        <v>80</v>
      </c>
    </row>
    <row r="9" spans="1:2" x14ac:dyDescent="0.35">
      <c r="A9" s="8" t="s">
        <v>142</v>
      </c>
      <c r="B9" s="9">
        <v>1</v>
      </c>
    </row>
    <row r="10" spans="1:2" x14ac:dyDescent="0.35">
      <c r="A10" s="8" t="s">
        <v>143</v>
      </c>
      <c r="B10" s="9">
        <v>12</v>
      </c>
    </row>
    <row r="11" spans="1:2" x14ac:dyDescent="0.35">
      <c r="A11" s="8" t="s">
        <v>144</v>
      </c>
      <c r="B11" s="9">
        <v>5</v>
      </c>
    </row>
    <row r="12" spans="1:2" x14ac:dyDescent="0.35">
      <c r="A12" s="8" t="s">
        <v>145</v>
      </c>
      <c r="B12" s="9">
        <v>9</v>
      </c>
    </row>
    <row r="13" spans="1:2" x14ac:dyDescent="0.35">
      <c r="A13" s="8" t="s">
        <v>146</v>
      </c>
      <c r="B13" s="9">
        <v>3</v>
      </c>
    </row>
    <row r="14" spans="1:2" x14ac:dyDescent="0.35">
      <c r="A14" s="8" t="s">
        <v>147</v>
      </c>
      <c r="B14" s="9">
        <v>5</v>
      </c>
    </row>
    <row r="15" spans="1:2" x14ac:dyDescent="0.35">
      <c r="A15" s="8" t="s">
        <v>148</v>
      </c>
      <c r="B15" s="9">
        <v>20</v>
      </c>
    </row>
    <row r="16" spans="1:2" x14ac:dyDescent="0.35">
      <c r="A16" s="8" t="s">
        <v>122</v>
      </c>
      <c r="B16" s="9">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B8"/>
    </sheetView>
  </sheetViews>
  <sheetFormatPr defaultRowHeight="14.5" x14ac:dyDescent="0.35"/>
  <cols>
    <col min="1" max="1" width="12.36328125" bestFit="1" customWidth="1"/>
    <col min="2" max="2" width="14.08984375" customWidth="1"/>
  </cols>
  <sheetData>
    <row r="3" spans="1:2" x14ac:dyDescent="0.35">
      <c r="A3" s="7" t="s">
        <v>118</v>
      </c>
      <c r="B3" t="s">
        <v>136</v>
      </c>
    </row>
    <row r="4" spans="1:2" x14ac:dyDescent="0.35">
      <c r="A4" s="8" t="s">
        <v>125</v>
      </c>
      <c r="B4" s="9">
        <v>223</v>
      </c>
    </row>
    <row r="5" spans="1:2" x14ac:dyDescent="0.35">
      <c r="A5" s="8" t="s">
        <v>126</v>
      </c>
      <c r="B5" s="9">
        <v>331</v>
      </c>
    </row>
    <row r="6" spans="1:2" x14ac:dyDescent="0.35">
      <c r="A6" s="8" t="s">
        <v>152</v>
      </c>
      <c r="B6" s="9">
        <v>0</v>
      </c>
    </row>
    <row r="7" spans="1:2" x14ac:dyDescent="0.35">
      <c r="A7" s="8" t="s">
        <v>127</v>
      </c>
      <c r="B7" s="9">
        <v>169</v>
      </c>
    </row>
    <row r="8" spans="1:2" x14ac:dyDescent="0.35">
      <c r="A8" s="8" t="s">
        <v>153</v>
      </c>
      <c r="B8" s="9"/>
    </row>
    <row r="9" spans="1:2" x14ac:dyDescent="0.35">
      <c r="A9" s="8" t="s">
        <v>122</v>
      </c>
      <c r="B9" s="9">
        <v>723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27"/>
  <sheetViews>
    <sheetView workbookViewId="0">
      <selection activeCell="B28" sqref="B28"/>
    </sheetView>
  </sheetViews>
  <sheetFormatPr defaultRowHeight="14.5" x14ac:dyDescent="0.35"/>
  <cols>
    <col min="1" max="1" width="69.54296875" customWidth="1"/>
    <col min="2" max="2" width="16.81640625" style="11" customWidth="1"/>
    <col min="3" max="3" width="14.54296875" style="11" bestFit="1" customWidth="1"/>
  </cols>
  <sheetData>
    <row r="3" spans="1:3" x14ac:dyDescent="0.35">
      <c r="A3" s="7" t="s">
        <v>118</v>
      </c>
      <c r="B3" t="s">
        <v>149</v>
      </c>
      <c r="C3"/>
    </row>
    <row r="4" spans="1:3" ht="14.5" customHeight="1" x14ac:dyDescent="0.35">
      <c r="A4" s="8" t="s">
        <v>53</v>
      </c>
      <c r="B4" s="12">
        <v>1.0950138026224983</v>
      </c>
      <c r="C4"/>
    </row>
    <row r="5" spans="1:3" ht="14.5" customHeight="1" x14ac:dyDescent="0.35">
      <c r="A5" s="8" t="s">
        <v>59</v>
      </c>
      <c r="B5" s="12">
        <v>1.0002430555555555</v>
      </c>
      <c r="C5"/>
    </row>
    <row r="6" spans="1:3" ht="14.5" customHeight="1" x14ac:dyDescent="0.35">
      <c r="A6" s="8" t="s">
        <v>61</v>
      </c>
      <c r="B6" s="12">
        <v>0.98001531985397583</v>
      </c>
      <c r="C6"/>
    </row>
    <row r="7" spans="1:3" ht="14.5" customHeight="1" x14ac:dyDescent="0.35">
      <c r="A7" s="8" t="s">
        <v>111</v>
      </c>
      <c r="B7" s="12">
        <v>0.64014466546112114</v>
      </c>
      <c r="C7"/>
    </row>
    <row r="8" spans="1:3" ht="14.5" customHeight="1" x14ac:dyDescent="0.35">
      <c r="A8" s="8" t="s">
        <v>65</v>
      </c>
      <c r="B8" s="12">
        <v>0.55000000000000004</v>
      </c>
      <c r="C8"/>
    </row>
    <row r="9" spans="1:3" ht="14.5" customHeight="1" x14ac:dyDescent="0.35">
      <c r="A9" s="8" t="s">
        <v>13</v>
      </c>
      <c r="B9" s="12">
        <v>0.54500000000000004</v>
      </c>
      <c r="C9"/>
    </row>
    <row r="10" spans="1:3" ht="14.5" customHeight="1" x14ac:dyDescent="0.35">
      <c r="A10" s="8" t="s">
        <v>29</v>
      </c>
      <c r="B10" s="12">
        <v>0.54488888888888887</v>
      </c>
      <c r="C10"/>
    </row>
    <row r="11" spans="1:3" ht="14.5" customHeight="1" x14ac:dyDescent="0.35">
      <c r="A11" s="8" t="s">
        <v>64</v>
      </c>
      <c r="B11" s="12">
        <v>0.53549695740365111</v>
      </c>
      <c r="C11"/>
    </row>
    <row r="12" spans="1:3" ht="14.5" customHeight="1" x14ac:dyDescent="0.35">
      <c r="A12" s="8" t="s">
        <v>25</v>
      </c>
      <c r="B12" s="12">
        <v>0.52500000000000002</v>
      </c>
      <c r="C12"/>
    </row>
    <row r="13" spans="1:3" ht="14.5" customHeight="1" x14ac:dyDescent="0.35">
      <c r="A13" s="8" t="s">
        <v>41</v>
      </c>
      <c r="B13" s="12">
        <v>0.52500000000000002</v>
      </c>
      <c r="C13"/>
    </row>
    <row r="14" spans="1:3" ht="14.5" customHeight="1" x14ac:dyDescent="0.35">
      <c r="A14" s="8" t="s">
        <v>122</v>
      </c>
      <c r="B14" s="9">
        <v>6.9408026897856914</v>
      </c>
      <c r="C14"/>
    </row>
    <row r="15" spans="1:3" ht="14.5" customHeight="1" x14ac:dyDescent="0.35">
      <c r="B15"/>
      <c r="C15"/>
    </row>
    <row r="16" spans="1:3" ht="14.5" customHeight="1" x14ac:dyDescent="0.35">
      <c r="B16"/>
      <c r="C16"/>
    </row>
    <row r="17" spans="2:3" ht="14.5" customHeight="1" x14ac:dyDescent="0.35">
      <c r="B17"/>
      <c r="C17"/>
    </row>
    <row r="18" spans="2:3" ht="14.5" customHeight="1" x14ac:dyDescent="0.35">
      <c r="B18"/>
      <c r="C18"/>
    </row>
    <row r="19" spans="2:3" ht="14.5" customHeight="1" x14ac:dyDescent="0.35">
      <c r="B19"/>
      <c r="C19"/>
    </row>
    <row r="20" spans="2:3" ht="14.5" customHeight="1" x14ac:dyDescent="0.35">
      <c r="B20"/>
      <c r="C20"/>
    </row>
    <row r="21" spans="2:3" ht="14.5" customHeight="1" x14ac:dyDescent="0.35">
      <c r="B21"/>
      <c r="C21"/>
    </row>
    <row r="22" spans="2:3" ht="14.5" customHeight="1" x14ac:dyDescent="0.35">
      <c r="B22"/>
      <c r="C22"/>
    </row>
    <row r="23" spans="2:3" ht="14.5" customHeight="1" x14ac:dyDescent="0.35">
      <c r="B23"/>
      <c r="C23"/>
    </row>
    <row r="24" spans="2:3" x14ac:dyDescent="0.35">
      <c r="B24"/>
      <c r="C24"/>
    </row>
    <row r="25" spans="2:3" ht="14.5" customHeight="1" x14ac:dyDescent="0.35">
      <c r="B25"/>
      <c r="C25"/>
    </row>
    <row r="26" spans="2:3" ht="14.5" customHeight="1" x14ac:dyDescent="0.35">
      <c r="B26"/>
      <c r="C26"/>
    </row>
    <row r="27" spans="2:3" ht="14.5" customHeight="1" x14ac:dyDescent="0.35">
      <c r="B27"/>
      <c r="C27"/>
    </row>
    <row r="28" spans="2:3" ht="14.5" customHeight="1" x14ac:dyDescent="0.35">
      <c r="B28"/>
      <c r="C28"/>
    </row>
    <row r="29" spans="2:3" ht="14.5" customHeight="1" x14ac:dyDescent="0.35">
      <c r="B29"/>
      <c r="C29"/>
    </row>
    <row r="30" spans="2:3" ht="14.5" customHeight="1" x14ac:dyDescent="0.35">
      <c r="B30"/>
      <c r="C30"/>
    </row>
    <row r="31" spans="2:3" ht="14.5" customHeight="1" x14ac:dyDescent="0.35">
      <c r="B31"/>
      <c r="C31"/>
    </row>
    <row r="32" spans="2:3" ht="14.5" customHeight="1" x14ac:dyDescent="0.35">
      <c r="B32"/>
      <c r="C32"/>
    </row>
    <row r="33" spans="2:3" ht="14.5" customHeight="1" x14ac:dyDescent="0.35">
      <c r="B33"/>
      <c r="C33"/>
    </row>
    <row r="34" spans="2:3" x14ac:dyDescent="0.35">
      <c r="B34"/>
      <c r="C34"/>
    </row>
    <row r="35" spans="2:3" x14ac:dyDescent="0.35">
      <c r="B35"/>
      <c r="C35"/>
    </row>
    <row r="36" spans="2:3" ht="14.5" customHeight="1" x14ac:dyDescent="0.35">
      <c r="B36"/>
      <c r="C36"/>
    </row>
    <row r="37" spans="2:3" ht="14.5" customHeight="1" x14ac:dyDescent="0.35">
      <c r="B37"/>
      <c r="C37"/>
    </row>
    <row r="38" spans="2:3" ht="14.5" customHeight="1" x14ac:dyDescent="0.35">
      <c r="B38"/>
      <c r="C38"/>
    </row>
    <row r="39" spans="2:3" ht="14.5" customHeight="1" x14ac:dyDescent="0.35">
      <c r="B39"/>
      <c r="C39"/>
    </row>
    <row r="40" spans="2:3" ht="14.5" customHeight="1" x14ac:dyDescent="0.35">
      <c r="B40"/>
      <c r="C40"/>
    </row>
    <row r="41" spans="2:3" ht="14.5" customHeight="1" x14ac:dyDescent="0.35">
      <c r="B41"/>
      <c r="C41"/>
    </row>
    <row r="42" spans="2:3" ht="14.5" customHeight="1" x14ac:dyDescent="0.35">
      <c r="B42"/>
      <c r="C42"/>
    </row>
    <row r="43" spans="2:3" x14ac:dyDescent="0.35">
      <c r="B43"/>
      <c r="C43"/>
    </row>
    <row r="44" spans="2:3" ht="14.5" customHeight="1" x14ac:dyDescent="0.35">
      <c r="B44"/>
      <c r="C44"/>
    </row>
    <row r="45" spans="2:3" ht="14.5" customHeight="1" x14ac:dyDescent="0.35">
      <c r="B45"/>
      <c r="C45"/>
    </row>
    <row r="46" spans="2:3" ht="14.5" customHeight="1" x14ac:dyDescent="0.35">
      <c r="B46"/>
      <c r="C46"/>
    </row>
    <row r="47" spans="2:3" ht="14.5" customHeight="1" x14ac:dyDescent="0.35">
      <c r="B47"/>
      <c r="C47"/>
    </row>
    <row r="48" spans="2:3" ht="14.5" customHeight="1" x14ac:dyDescent="0.35">
      <c r="B48"/>
      <c r="C48"/>
    </row>
    <row r="49" spans="2:3" ht="14.5" customHeight="1" x14ac:dyDescent="0.35">
      <c r="B49"/>
      <c r="C49"/>
    </row>
    <row r="50" spans="2:3" ht="14.5" customHeight="1" x14ac:dyDescent="0.35">
      <c r="B50"/>
      <c r="C50"/>
    </row>
    <row r="51" spans="2:3" ht="14.5" customHeight="1" x14ac:dyDescent="0.35">
      <c r="B51"/>
      <c r="C51"/>
    </row>
    <row r="52" spans="2:3" ht="14.5" customHeight="1" x14ac:dyDescent="0.35">
      <c r="B52"/>
      <c r="C52"/>
    </row>
    <row r="53" spans="2:3" ht="14.5" customHeight="1" x14ac:dyDescent="0.35">
      <c r="B53"/>
      <c r="C53"/>
    </row>
    <row r="54" spans="2:3" ht="14.5" customHeight="1" x14ac:dyDescent="0.35">
      <c r="B54"/>
      <c r="C54"/>
    </row>
    <row r="55" spans="2:3" ht="14.5" customHeight="1" x14ac:dyDescent="0.35">
      <c r="B55"/>
      <c r="C55"/>
    </row>
    <row r="56" spans="2:3" x14ac:dyDescent="0.35">
      <c r="B56"/>
      <c r="C56"/>
    </row>
    <row r="57" spans="2:3" x14ac:dyDescent="0.35">
      <c r="B57"/>
      <c r="C57"/>
    </row>
    <row r="58" spans="2:3" ht="14.5" customHeight="1" x14ac:dyDescent="0.35">
      <c r="B58"/>
      <c r="C58"/>
    </row>
    <row r="59" spans="2:3" ht="14.5" customHeight="1" x14ac:dyDescent="0.35">
      <c r="B59"/>
      <c r="C59"/>
    </row>
    <row r="60" spans="2:3" ht="14.5" customHeight="1" x14ac:dyDescent="0.35">
      <c r="B60"/>
      <c r="C60"/>
    </row>
    <row r="61" spans="2:3" ht="14.5" customHeight="1" x14ac:dyDescent="0.35">
      <c r="B61"/>
      <c r="C61"/>
    </row>
    <row r="62" spans="2:3" ht="14.5" customHeight="1" x14ac:dyDescent="0.35">
      <c r="B62"/>
      <c r="C62"/>
    </row>
    <row r="63" spans="2:3" ht="14.5" customHeight="1" x14ac:dyDescent="0.35">
      <c r="B63"/>
      <c r="C63"/>
    </row>
    <row r="64" spans="2:3" ht="14.5" customHeight="1" x14ac:dyDescent="0.35">
      <c r="B64"/>
      <c r="C64"/>
    </row>
    <row r="65" spans="2:3" ht="14.5" customHeight="1" x14ac:dyDescent="0.35">
      <c r="B65"/>
      <c r="C65"/>
    </row>
    <row r="66" spans="2:3" ht="14.5" customHeight="1" x14ac:dyDescent="0.35">
      <c r="B66"/>
      <c r="C66"/>
    </row>
    <row r="67" spans="2:3" ht="14.5" customHeight="1" x14ac:dyDescent="0.35">
      <c r="B67"/>
      <c r="C67"/>
    </row>
    <row r="68" spans="2:3" ht="14.5" customHeight="1" x14ac:dyDescent="0.35">
      <c r="B68"/>
      <c r="C68"/>
    </row>
    <row r="69" spans="2:3" ht="14.5" customHeight="1" x14ac:dyDescent="0.35">
      <c r="B69"/>
      <c r="C69"/>
    </row>
    <row r="70" spans="2:3" ht="14.5" customHeight="1" x14ac:dyDescent="0.35">
      <c r="B70"/>
      <c r="C70"/>
    </row>
    <row r="71" spans="2:3" x14ac:dyDescent="0.35">
      <c r="B71"/>
      <c r="C71"/>
    </row>
    <row r="72" spans="2:3" ht="14.5" customHeight="1" x14ac:dyDescent="0.35">
      <c r="B72"/>
      <c r="C72"/>
    </row>
    <row r="73" spans="2:3" ht="14.5" customHeight="1" x14ac:dyDescent="0.35">
      <c r="B73"/>
      <c r="C73"/>
    </row>
    <row r="74" spans="2:3" x14ac:dyDescent="0.35">
      <c r="B74"/>
      <c r="C74"/>
    </row>
    <row r="75" spans="2:3" ht="14.5" customHeight="1" x14ac:dyDescent="0.35">
      <c r="B75"/>
      <c r="C75"/>
    </row>
    <row r="76" spans="2:3" ht="14.5" customHeight="1" x14ac:dyDescent="0.35">
      <c r="B76"/>
      <c r="C76"/>
    </row>
    <row r="77" spans="2:3" ht="14.5" customHeight="1" x14ac:dyDescent="0.35">
      <c r="B77"/>
      <c r="C77"/>
    </row>
    <row r="78" spans="2:3" ht="14.5" customHeight="1" x14ac:dyDescent="0.35">
      <c r="B78"/>
      <c r="C78"/>
    </row>
    <row r="79" spans="2:3" ht="14.5" customHeight="1" x14ac:dyDescent="0.35">
      <c r="B79"/>
      <c r="C79"/>
    </row>
    <row r="80" spans="2:3" ht="14.5" customHeight="1" x14ac:dyDescent="0.35">
      <c r="B80"/>
      <c r="C80"/>
    </row>
    <row r="81" spans="2:3" ht="14.5" customHeight="1" x14ac:dyDescent="0.35">
      <c r="B81"/>
      <c r="C81"/>
    </row>
    <row r="82" spans="2:3" ht="14.5" customHeight="1" x14ac:dyDescent="0.35">
      <c r="B82"/>
      <c r="C82"/>
    </row>
    <row r="83" spans="2:3" ht="14.5" customHeight="1" x14ac:dyDescent="0.35">
      <c r="B83"/>
      <c r="C83"/>
    </row>
    <row r="84" spans="2:3" ht="14.5" customHeight="1" x14ac:dyDescent="0.35">
      <c r="B84"/>
      <c r="C84"/>
    </row>
    <row r="85" spans="2:3" ht="14.5" customHeight="1" x14ac:dyDescent="0.35">
      <c r="B85"/>
      <c r="C85"/>
    </row>
    <row r="86" spans="2:3" ht="14.5" customHeight="1" x14ac:dyDescent="0.35">
      <c r="B86"/>
      <c r="C86"/>
    </row>
    <row r="87" spans="2:3" ht="14.5" customHeight="1" x14ac:dyDescent="0.35">
      <c r="B87"/>
      <c r="C87"/>
    </row>
    <row r="88" spans="2:3" x14ac:dyDescent="0.35">
      <c r="B88"/>
      <c r="C88"/>
    </row>
    <row r="89" spans="2:3" ht="14.5" customHeight="1" x14ac:dyDescent="0.35">
      <c r="B89"/>
      <c r="C89"/>
    </row>
    <row r="90" spans="2:3" ht="14.5" customHeight="1" x14ac:dyDescent="0.35">
      <c r="B90"/>
      <c r="C90"/>
    </row>
    <row r="91" spans="2:3" ht="14.5" customHeight="1" x14ac:dyDescent="0.35">
      <c r="B91"/>
      <c r="C91"/>
    </row>
    <row r="92" spans="2:3" ht="14.5" customHeight="1" x14ac:dyDescent="0.35">
      <c r="B92"/>
      <c r="C92"/>
    </row>
    <row r="93" spans="2:3" ht="14.5" customHeight="1" x14ac:dyDescent="0.35">
      <c r="B93"/>
      <c r="C93"/>
    </row>
    <row r="94" spans="2:3" ht="14.5" customHeight="1" x14ac:dyDescent="0.35">
      <c r="B94"/>
      <c r="C94"/>
    </row>
    <row r="95" spans="2:3" ht="14.5" customHeight="1" x14ac:dyDescent="0.35">
      <c r="B95"/>
      <c r="C95"/>
    </row>
    <row r="96" spans="2:3" ht="14.5" customHeight="1" x14ac:dyDescent="0.35">
      <c r="B96"/>
      <c r="C96"/>
    </row>
    <row r="97" spans="2:3" ht="14.5" customHeight="1" x14ac:dyDescent="0.35">
      <c r="B97"/>
      <c r="C97"/>
    </row>
    <row r="98" spans="2:3" ht="14.5" customHeight="1" x14ac:dyDescent="0.35">
      <c r="B98"/>
      <c r="C98"/>
    </row>
    <row r="99" spans="2:3" ht="14.5" customHeight="1" x14ac:dyDescent="0.35">
      <c r="B99"/>
      <c r="C99"/>
    </row>
    <row r="100" spans="2:3" ht="14.5" customHeight="1" x14ac:dyDescent="0.35">
      <c r="B100"/>
      <c r="C100"/>
    </row>
    <row r="101" spans="2:3" ht="14.5" customHeight="1" x14ac:dyDescent="0.35">
      <c r="B101"/>
      <c r="C101"/>
    </row>
    <row r="102" spans="2:3" ht="14.5" customHeight="1" x14ac:dyDescent="0.35">
      <c r="B102"/>
      <c r="C102"/>
    </row>
    <row r="103" spans="2:3" x14ac:dyDescent="0.35">
      <c r="B103"/>
      <c r="C103"/>
    </row>
    <row r="104" spans="2:3" ht="14.5" customHeight="1" x14ac:dyDescent="0.35">
      <c r="B104"/>
      <c r="C104"/>
    </row>
    <row r="105" spans="2:3" ht="14.5" customHeight="1" x14ac:dyDescent="0.35">
      <c r="B105"/>
      <c r="C105"/>
    </row>
    <row r="106" spans="2:3" ht="14.5" customHeight="1" x14ac:dyDescent="0.35">
      <c r="B106"/>
      <c r="C106"/>
    </row>
    <row r="107" spans="2:3" ht="14.5" customHeight="1" x14ac:dyDescent="0.35">
      <c r="B107"/>
      <c r="C107"/>
    </row>
    <row r="108" spans="2:3" ht="14.5" customHeight="1" x14ac:dyDescent="0.35">
      <c r="B108"/>
      <c r="C108"/>
    </row>
    <row r="109" spans="2:3" ht="14.5" customHeight="1" x14ac:dyDescent="0.35">
      <c r="B109"/>
      <c r="C109"/>
    </row>
    <row r="110" spans="2:3" ht="14.5" customHeight="1" x14ac:dyDescent="0.35">
      <c r="B110"/>
      <c r="C110"/>
    </row>
    <row r="111" spans="2:3" ht="14.5" customHeight="1" x14ac:dyDescent="0.35">
      <c r="B111"/>
      <c r="C111"/>
    </row>
    <row r="112" spans="2:3" ht="14.5" customHeight="1" x14ac:dyDescent="0.35">
      <c r="B112"/>
      <c r="C112"/>
    </row>
    <row r="113" spans="2:3" ht="14.5" customHeight="1" x14ac:dyDescent="0.35">
      <c r="B113"/>
      <c r="C113"/>
    </row>
    <row r="114" spans="2:3" x14ac:dyDescent="0.35">
      <c r="B114"/>
      <c r="C114"/>
    </row>
    <row r="115" spans="2:3" ht="14.5" customHeight="1" x14ac:dyDescent="0.35"/>
    <row r="116" spans="2:3" ht="14.5" customHeight="1" x14ac:dyDescent="0.35"/>
    <row r="117" spans="2:3" ht="14.5" customHeight="1" x14ac:dyDescent="0.35"/>
    <row r="118" spans="2:3" ht="14.5" customHeight="1" x14ac:dyDescent="0.35"/>
    <row r="119" spans="2:3" ht="14.5" customHeight="1" x14ac:dyDescent="0.35"/>
    <row r="120" spans="2:3" ht="14.5" customHeight="1" x14ac:dyDescent="0.35"/>
    <row r="121" spans="2:3" ht="14.5" customHeight="1" x14ac:dyDescent="0.35"/>
    <row r="122" spans="2:3" ht="14.5" customHeight="1" x14ac:dyDescent="0.35"/>
    <row r="123" spans="2:3" ht="14.5" customHeight="1" x14ac:dyDescent="0.35"/>
    <row r="124" spans="2:3" ht="14.5" customHeight="1" x14ac:dyDescent="0.35"/>
    <row r="125" spans="2:3" ht="14.5" customHeight="1" x14ac:dyDescent="0.35"/>
    <row r="126" spans="2:3" ht="14.5" customHeight="1" x14ac:dyDescent="0.35"/>
    <row r="127" spans="2:3" ht="14.5" customHeight="1" x14ac:dyDescent="0.35"/>
    <row r="128" spans="2:3" ht="14.5" customHeight="1" x14ac:dyDescent="0.35"/>
    <row r="129" ht="14.5" customHeight="1" x14ac:dyDescent="0.35"/>
    <row r="130" ht="14.5" customHeight="1" x14ac:dyDescent="0.35"/>
    <row r="131" ht="14.5" customHeight="1" x14ac:dyDescent="0.35"/>
    <row r="132" ht="14.5" customHeight="1" x14ac:dyDescent="0.35"/>
    <row r="133" ht="14.5" customHeight="1" x14ac:dyDescent="0.35"/>
    <row r="134" ht="14.5" customHeight="1" x14ac:dyDescent="0.35"/>
    <row r="135" ht="14.5" customHeight="1" x14ac:dyDescent="0.35"/>
    <row r="136" ht="14.5" customHeight="1" x14ac:dyDescent="0.35"/>
    <row r="137" ht="14.5" customHeight="1" x14ac:dyDescent="0.35"/>
    <row r="138" ht="14.5" customHeight="1" x14ac:dyDescent="0.35"/>
    <row r="139" ht="14.5" customHeight="1" x14ac:dyDescent="0.35"/>
    <row r="140" ht="14.5" customHeight="1" x14ac:dyDescent="0.35"/>
    <row r="141" ht="14.5" customHeight="1" x14ac:dyDescent="0.35"/>
    <row r="142" ht="14.5" customHeight="1" x14ac:dyDescent="0.35"/>
    <row r="143" ht="14.5" customHeight="1" x14ac:dyDescent="0.35"/>
    <row r="144" ht="14.5" customHeight="1" x14ac:dyDescent="0.35"/>
    <row r="145" ht="14.5" customHeight="1" x14ac:dyDescent="0.35"/>
    <row r="146" ht="14.5" customHeight="1" x14ac:dyDescent="0.35"/>
    <row r="147" ht="14.5" customHeight="1" x14ac:dyDescent="0.35"/>
    <row r="148" ht="14.5" customHeight="1" x14ac:dyDescent="0.35"/>
    <row r="149" ht="14.5" customHeight="1" x14ac:dyDescent="0.35"/>
    <row r="150" ht="14.5" customHeight="1" x14ac:dyDescent="0.35"/>
    <row r="151" ht="14.5" customHeight="1" x14ac:dyDescent="0.35"/>
    <row r="152" ht="14.5" customHeight="1" x14ac:dyDescent="0.35"/>
    <row r="153" ht="14.5" customHeight="1" x14ac:dyDescent="0.35"/>
    <row r="154" ht="14.5" customHeight="1" x14ac:dyDescent="0.35"/>
    <row r="155" ht="14.5" customHeight="1" x14ac:dyDescent="0.35"/>
    <row r="156" ht="14.5" customHeight="1" x14ac:dyDescent="0.35"/>
    <row r="157" ht="14.5" customHeight="1" x14ac:dyDescent="0.35"/>
    <row r="158" ht="14.5" customHeight="1" x14ac:dyDescent="0.35"/>
    <row r="159" ht="14.5" customHeight="1" x14ac:dyDescent="0.35"/>
    <row r="160" ht="14.5" customHeight="1" x14ac:dyDescent="0.35"/>
    <row r="161" ht="14.5" customHeight="1" x14ac:dyDescent="0.35"/>
    <row r="162" ht="14.5" customHeight="1" x14ac:dyDescent="0.35"/>
    <row r="163" ht="14.5" customHeight="1" x14ac:dyDescent="0.35"/>
    <row r="164" ht="14.5" customHeight="1" x14ac:dyDescent="0.35"/>
    <row r="165" ht="14.5" customHeight="1" x14ac:dyDescent="0.35"/>
    <row r="166" ht="14.5" customHeight="1" x14ac:dyDescent="0.35"/>
    <row r="167" ht="14.5" customHeight="1" x14ac:dyDescent="0.35"/>
    <row r="168" ht="14.5" customHeight="1" x14ac:dyDescent="0.35"/>
    <row r="169" ht="14.5" customHeight="1" x14ac:dyDescent="0.35"/>
    <row r="170" ht="14.5" customHeight="1" x14ac:dyDescent="0.35"/>
    <row r="171" ht="14.5" customHeight="1" x14ac:dyDescent="0.35"/>
    <row r="172" ht="14.5" customHeight="1" x14ac:dyDescent="0.35"/>
    <row r="173" ht="14.5" customHeight="1" x14ac:dyDescent="0.35"/>
    <row r="174" ht="14.5" customHeight="1" x14ac:dyDescent="0.35"/>
    <row r="175" ht="14.5" customHeight="1" x14ac:dyDescent="0.35"/>
    <row r="176" ht="14.5" customHeight="1" x14ac:dyDescent="0.35"/>
    <row r="177" ht="14.5" customHeight="1" x14ac:dyDescent="0.35"/>
    <row r="178" ht="14.5" customHeight="1" x14ac:dyDescent="0.35"/>
    <row r="179" ht="14.5" customHeight="1" x14ac:dyDescent="0.35"/>
    <row r="180" ht="14.5" customHeight="1" x14ac:dyDescent="0.35"/>
    <row r="181" ht="14.5" customHeight="1" x14ac:dyDescent="0.35"/>
    <row r="182" ht="14.5" customHeight="1" x14ac:dyDescent="0.35"/>
    <row r="183" ht="14.5" customHeight="1" x14ac:dyDescent="0.35"/>
    <row r="184" ht="14.5" customHeight="1" x14ac:dyDescent="0.35"/>
    <row r="185" ht="14.5" customHeight="1" x14ac:dyDescent="0.35"/>
    <row r="186" ht="14.5" customHeight="1" x14ac:dyDescent="0.35"/>
    <row r="187" ht="14.5" customHeight="1" x14ac:dyDescent="0.35"/>
    <row r="188" ht="14.5" customHeight="1" x14ac:dyDescent="0.35"/>
    <row r="189" ht="14.5" customHeight="1" x14ac:dyDescent="0.35"/>
    <row r="190" ht="14.5" customHeight="1" x14ac:dyDescent="0.35"/>
    <row r="191" ht="14.5" customHeight="1" x14ac:dyDescent="0.35"/>
    <row r="192" ht="14.5" customHeight="1" x14ac:dyDescent="0.35"/>
    <row r="193" ht="14.5" customHeight="1" x14ac:dyDescent="0.35"/>
    <row r="194" ht="14.5" customHeight="1" x14ac:dyDescent="0.35"/>
    <row r="195" ht="14.5" customHeight="1" x14ac:dyDescent="0.35"/>
    <row r="196" ht="14.5" customHeight="1" x14ac:dyDescent="0.35"/>
    <row r="197" ht="14.5" customHeight="1" x14ac:dyDescent="0.35"/>
    <row r="198" ht="14.5" customHeight="1" x14ac:dyDescent="0.35"/>
    <row r="199" ht="14.5" customHeight="1" x14ac:dyDescent="0.35"/>
    <row r="200" ht="14.5" customHeight="1" x14ac:dyDescent="0.35"/>
    <row r="201" ht="14.5" customHeight="1" x14ac:dyDescent="0.35"/>
    <row r="202" ht="14.5" customHeight="1" x14ac:dyDescent="0.35"/>
    <row r="203" ht="14.5" customHeight="1" x14ac:dyDescent="0.35"/>
    <row r="204" ht="14.5" customHeight="1" x14ac:dyDescent="0.35"/>
    <row r="205" ht="14.5" customHeight="1" x14ac:dyDescent="0.35"/>
    <row r="206" ht="14.5" customHeight="1" x14ac:dyDescent="0.35"/>
    <row r="207" ht="14.5" customHeight="1" x14ac:dyDescent="0.35"/>
    <row r="208" ht="14.5" customHeight="1" x14ac:dyDescent="0.35"/>
    <row r="209" ht="14.5" customHeight="1" x14ac:dyDescent="0.35"/>
    <row r="210" ht="14.5" customHeight="1" x14ac:dyDescent="0.35"/>
    <row r="211" ht="14.5" customHeight="1" x14ac:dyDescent="0.35"/>
    <row r="212" ht="14.5" customHeight="1" x14ac:dyDescent="0.35"/>
    <row r="213" ht="14.5" customHeight="1" x14ac:dyDescent="0.35"/>
    <row r="214" ht="14.5" customHeight="1" x14ac:dyDescent="0.35"/>
    <row r="215" ht="14.5" customHeight="1" x14ac:dyDescent="0.35"/>
    <row r="216" ht="14.5" customHeight="1" x14ac:dyDescent="0.35"/>
    <row r="217" ht="14.5" customHeight="1" x14ac:dyDescent="0.35"/>
    <row r="218" ht="14.5" customHeight="1" x14ac:dyDescent="0.35"/>
    <row r="219" ht="14.5" customHeight="1" x14ac:dyDescent="0.35"/>
    <row r="220" ht="14.5" customHeight="1" x14ac:dyDescent="0.35"/>
    <row r="221" ht="14.5" customHeight="1" x14ac:dyDescent="0.35"/>
    <row r="222" ht="14.5" customHeight="1" x14ac:dyDescent="0.35"/>
    <row r="223" ht="14.5" customHeight="1" x14ac:dyDescent="0.35"/>
    <row r="224" ht="14.5" customHeight="1" x14ac:dyDescent="0.35"/>
    <row r="225" ht="14.5" customHeight="1" x14ac:dyDescent="0.35"/>
    <row r="226" ht="14.5" customHeight="1" x14ac:dyDescent="0.35"/>
    <row r="227" ht="14.5" customHeight="1" x14ac:dyDescent="0.35"/>
  </sheetData>
  <autoFilter ref="B3:B227"/>
  <conditionalFormatting sqref="B1:B3 B115:B1048576">
    <cfRule type="top10" dxfId="3" priority="1" rank="10"/>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13" sqref="A4:B13"/>
    </sheetView>
  </sheetViews>
  <sheetFormatPr defaultRowHeight="14.5" x14ac:dyDescent="0.35"/>
  <cols>
    <col min="1" max="1" width="61.453125" bestFit="1" customWidth="1"/>
    <col min="2" max="2" width="14.08984375" customWidth="1"/>
  </cols>
  <sheetData>
    <row r="3" spans="1:2" x14ac:dyDescent="0.35">
      <c r="A3" s="7" t="s">
        <v>118</v>
      </c>
      <c r="B3" t="s">
        <v>136</v>
      </c>
    </row>
    <row r="4" spans="1:2" x14ac:dyDescent="0.35">
      <c r="A4" s="8" t="s">
        <v>66</v>
      </c>
      <c r="B4" s="9">
        <v>69</v>
      </c>
    </row>
    <row r="5" spans="1:2" x14ac:dyDescent="0.35">
      <c r="A5" s="8" t="s">
        <v>11</v>
      </c>
      <c r="B5" s="9">
        <v>55</v>
      </c>
    </row>
    <row r="6" spans="1:2" x14ac:dyDescent="0.35">
      <c r="A6" s="8" t="s">
        <v>30</v>
      </c>
      <c r="B6" s="9">
        <v>49</v>
      </c>
    </row>
    <row r="7" spans="1:2" x14ac:dyDescent="0.35">
      <c r="A7" s="8" t="s">
        <v>24</v>
      </c>
      <c r="B7" s="9">
        <v>44</v>
      </c>
    </row>
    <row r="8" spans="1:2" x14ac:dyDescent="0.35">
      <c r="A8" s="8" t="s">
        <v>16</v>
      </c>
      <c r="B8" s="9">
        <v>39</v>
      </c>
    </row>
    <row r="9" spans="1:2" x14ac:dyDescent="0.35">
      <c r="A9" s="8" t="s">
        <v>42</v>
      </c>
      <c r="B9" s="9">
        <v>36</v>
      </c>
    </row>
    <row r="10" spans="1:2" x14ac:dyDescent="0.35">
      <c r="A10" s="8" t="s">
        <v>39</v>
      </c>
      <c r="B10" s="9">
        <v>32</v>
      </c>
    </row>
    <row r="11" spans="1:2" x14ac:dyDescent="0.35">
      <c r="A11" s="8" t="s">
        <v>7</v>
      </c>
      <c r="B11" s="9">
        <v>24</v>
      </c>
    </row>
    <row r="12" spans="1:2" x14ac:dyDescent="0.35">
      <c r="A12" s="8" t="s">
        <v>38</v>
      </c>
      <c r="B12" s="9">
        <v>20</v>
      </c>
    </row>
    <row r="13" spans="1:2" x14ac:dyDescent="0.35">
      <c r="A13" s="8" t="s">
        <v>33</v>
      </c>
      <c r="B13" s="9">
        <v>20</v>
      </c>
    </row>
    <row r="14" spans="1:2" x14ac:dyDescent="0.35">
      <c r="A14" s="8" t="s">
        <v>122</v>
      </c>
      <c r="B14" s="9">
        <v>388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4"/>
  <sheetViews>
    <sheetView workbookViewId="0">
      <selection activeCell="A33" sqref="A33"/>
    </sheetView>
  </sheetViews>
  <sheetFormatPr defaultRowHeight="14.5" x14ac:dyDescent="0.35"/>
  <cols>
    <col min="1" max="1" width="64.453125" customWidth="1"/>
    <col min="2" max="2" width="12.36328125" style="11" customWidth="1"/>
  </cols>
  <sheetData>
    <row r="3" spans="1:2" x14ac:dyDescent="0.35">
      <c r="A3" s="7" t="s">
        <v>118</v>
      </c>
      <c r="B3" t="s">
        <v>150</v>
      </c>
    </row>
    <row r="4" spans="1:2" x14ac:dyDescent="0.35">
      <c r="A4" s="8" t="s">
        <v>41</v>
      </c>
      <c r="B4" s="9">
        <v>5</v>
      </c>
    </row>
    <row r="5" spans="1:2" x14ac:dyDescent="0.35">
      <c r="A5" s="8" t="s">
        <v>22</v>
      </c>
      <c r="B5" s="9">
        <v>5</v>
      </c>
    </row>
    <row r="6" spans="1:2" x14ac:dyDescent="0.35">
      <c r="A6" s="8" t="s">
        <v>103</v>
      </c>
      <c r="B6" s="9">
        <v>5</v>
      </c>
    </row>
    <row r="7" spans="1:2" x14ac:dyDescent="0.35">
      <c r="A7" s="8" t="s">
        <v>20</v>
      </c>
      <c r="B7" s="9">
        <v>5</v>
      </c>
    </row>
    <row r="8" spans="1:2" x14ac:dyDescent="0.35">
      <c r="A8" s="8" t="s">
        <v>21</v>
      </c>
      <c r="B8" s="9">
        <v>5</v>
      </c>
    </row>
    <row r="9" spans="1:2" x14ac:dyDescent="0.35">
      <c r="A9" s="8" t="s">
        <v>83</v>
      </c>
      <c r="B9" s="9">
        <v>5</v>
      </c>
    </row>
    <row r="10" spans="1:2" x14ac:dyDescent="0.35">
      <c r="A10" s="8" t="s">
        <v>40</v>
      </c>
      <c r="B10" s="9">
        <v>5</v>
      </c>
    </row>
    <row r="11" spans="1:2" x14ac:dyDescent="0.35">
      <c r="A11" s="8" t="s">
        <v>13</v>
      </c>
      <c r="B11" s="9">
        <v>4.8</v>
      </c>
    </row>
    <row r="12" spans="1:2" x14ac:dyDescent="0.35">
      <c r="A12" s="8" t="s">
        <v>9</v>
      </c>
      <c r="B12" s="9">
        <v>4.8</v>
      </c>
    </row>
    <row r="13" spans="1:2" x14ac:dyDescent="0.35">
      <c r="A13" s="8" t="s">
        <v>17</v>
      </c>
      <c r="B13" s="9">
        <v>4.8</v>
      </c>
    </row>
    <row r="14" spans="1:2" x14ac:dyDescent="0.35">
      <c r="A14" s="8" t="s">
        <v>122</v>
      </c>
      <c r="B14" s="9">
        <v>49.399999999999991</v>
      </c>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4.5" x14ac:dyDescent="0.35"/>
  <cols>
    <col min="1" max="1" width="13.81640625" customWidth="1"/>
    <col min="2" max="2" width="13.81640625" bestFit="1" customWidth="1"/>
  </cols>
  <sheetData>
    <row r="3" spans="1:1" x14ac:dyDescent="0.35">
      <c r="A3" t="s">
        <v>151</v>
      </c>
    </row>
    <row r="4" spans="1:1" x14ac:dyDescent="0.35">
      <c r="A4" s="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zoomScaleNormal="100" workbookViewId="0">
      <pane ySplit="1" topLeftCell="A2" activePane="bottomLeft" state="frozen"/>
      <selection pane="bottomLeft" activeCell="C91" sqref="C91"/>
    </sheetView>
  </sheetViews>
  <sheetFormatPr defaultRowHeight="14.5" x14ac:dyDescent="0.35"/>
  <cols>
    <col min="1" max="1" width="89.1796875" bestFit="1" customWidth="1"/>
    <col min="2" max="3" width="18.36328125" style="3" bestFit="1" customWidth="1"/>
    <col min="4" max="4" width="18.36328125" style="3" customWidth="1"/>
    <col min="5" max="5" width="8.81640625" customWidth="1"/>
    <col min="6" max="6" width="17.54296875" bestFit="1" customWidth="1"/>
    <col min="7" max="7" width="7.453125" bestFit="1" customWidth="1"/>
    <col min="8" max="8" width="7.453125" customWidth="1"/>
    <col min="9" max="9" width="11.6328125" style="5" bestFit="1" customWidth="1"/>
    <col min="10" max="10" width="15.26953125" bestFit="1" customWidth="1"/>
  </cols>
  <sheetData>
    <row r="1" spans="1:10" s="1" customFormat="1" ht="15.5" x14ac:dyDescent="0.35">
      <c r="A1" s="1" t="s">
        <v>0</v>
      </c>
      <c r="B1" s="2" t="s">
        <v>1</v>
      </c>
      <c r="C1" s="2" t="s">
        <v>2</v>
      </c>
      <c r="D1" s="2" t="s">
        <v>115</v>
      </c>
      <c r="E1" s="1" t="s">
        <v>3</v>
      </c>
      <c r="F1" s="1" t="s">
        <v>117</v>
      </c>
      <c r="G1" s="1" t="s">
        <v>4</v>
      </c>
      <c r="H1" s="1" t="s">
        <v>4</v>
      </c>
      <c r="I1" s="4" t="s">
        <v>114</v>
      </c>
      <c r="J1" s="1" t="s">
        <v>116</v>
      </c>
    </row>
    <row r="2" spans="1:10" x14ac:dyDescent="0.35">
      <c r="A2" t="s">
        <v>26</v>
      </c>
      <c r="B2" s="3">
        <v>1860</v>
      </c>
      <c r="C2" s="3">
        <v>3220</v>
      </c>
      <c r="D2" s="3">
        <f t="shared" ref="D2:D33" si="0">C2-B2</f>
        <v>1360</v>
      </c>
      <c r="E2" s="6">
        <f t="shared" ref="E2:E33" si="1">D2/C2</f>
        <v>0.42236024844720499</v>
      </c>
      <c r="F2" s="6" t="str">
        <f t="shared" ref="F2:F33" si="2">IF(E2&lt;20%,"Low Discount",IF(E2&lt;=40%,"Medium Discount",IF(E2&gt;40%,"High Discount")))</f>
        <v>High Discount</v>
      </c>
      <c r="H2">
        <f t="shared" ref="H2:H33" si="3">IF(G2&lt;0,-G2,G2)</f>
        <v>0</v>
      </c>
      <c r="I2" s="5">
        <v>3.89</v>
      </c>
      <c r="J2" t="str">
        <f>IF(I2&lt;3,"Poor",IF(I2&lt;=4.4,"Average","Excellent"))</f>
        <v>Average</v>
      </c>
    </row>
    <row r="3" spans="1:10" x14ac:dyDescent="0.35">
      <c r="A3" t="s">
        <v>34</v>
      </c>
      <c r="B3" s="3">
        <v>2200</v>
      </c>
      <c r="C3" s="3">
        <v>4080</v>
      </c>
      <c r="D3" s="3">
        <f t="shared" si="0"/>
        <v>1880</v>
      </c>
      <c r="E3" s="6">
        <f t="shared" si="1"/>
        <v>0.46078431372549017</v>
      </c>
      <c r="F3" s="6" t="str">
        <f t="shared" si="2"/>
        <v>High Discount</v>
      </c>
      <c r="H3">
        <f t="shared" si="3"/>
        <v>0</v>
      </c>
      <c r="I3" s="5">
        <v>3.89</v>
      </c>
      <c r="J3" t="str">
        <f t="shared" ref="J3:J65" si="4">IF(I3&lt;3,"Poor",IF(I3&lt;=4.4,"Average","Excellent"))</f>
        <v>Average</v>
      </c>
    </row>
    <row r="4" spans="1:10" x14ac:dyDescent="0.35">
      <c r="A4" t="s">
        <v>44</v>
      </c>
      <c r="B4" s="3">
        <v>2750</v>
      </c>
      <c r="C4" s="3">
        <v>4471</v>
      </c>
      <c r="D4" s="3">
        <f t="shared" si="0"/>
        <v>1721</v>
      </c>
      <c r="E4" s="6">
        <f t="shared" si="1"/>
        <v>0.38492507269067322</v>
      </c>
      <c r="F4" s="6" t="str">
        <f t="shared" si="2"/>
        <v>Medium Discount</v>
      </c>
      <c r="H4">
        <f t="shared" si="3"/>
        <v>0</v>
      </c>
      <c r="I4" s="5">
        <v>3.89</v>
      </c>
      <c r="J4" t="str">
        <f t="shared" si="4"/>
        <v>Average</v>
      </c>
    </row>
    <row r="5" spans="1:10" x14ac:dyDescent="0.35">
      <c r="A5" t="s">
        <v>45</v>
      </c>
      <c r="B5" s="3">
        <v>475</v>
      </c>
      <c r="C5" s="3">
        <v>931</v>
      </c>
      <c r="D5" s="3">
        <f t="shared" si="0"/>
        <v>456</v>
      </c>
      <c r="E5" s="6">
        <f t="shared" si="1"/>
        <v>0.48979591836734693</v>
      </c>
      <c r="F5" s="6" t="str">
        <f t="shared" si="2"/>
        <v>High Discount</v>
      </c>
      <c r="H5">
        <f t="shared" si="3"/>
        <v>0</v>
      </c>
      <c r="I5" s="5">
        <v>3.89</v>
      </c>
      <c r="J5" t="str">
        <f t="shared" si="4"/>
        <v>Average</v>
      </c>
    </row>
    <row r="6" spans="1:10" x14ac:dyDescent="0.35">
      <c r="A6" t="s">
        <v>46</v>
      </c>
      <c r="B6" s="3">
        <v>238</v>
      </c>
      <c r="C6" s="3">
        <v>476</v>
      </c>
      <c r="D6" s="3">
        <f t="shared" si="0"/>
        <v>238</v>
      </c>
      <c r="E6" s="6">
        <f t="shared" si="1"/>
        <v>0.5</v>
      </c>
      <c r="F6" s="6" t="str">
        <f t="shared" si="2"/>
        <v>High Discount</v>
      </c>
      <c r="H6">
        <f t="shared" si="3"/>
        <v>0</v>
      </c>
      <c r="I6" s="5">
        <v>3.89</v>
      </c>
      <c r="J6" t="str">
        <f t="shared" si="4"/>
        <v>Average</v>
      </c>
    </row>
    <row r="7" spans="1:10" x14ac:dyDescent="0.35">
      <c r="A7" t="s">
        <v>48</v>
      </c>
      <c r="B7" s="3">
        <v>2132</v>
      </c>
      <c r="C7" s="3">
        <v>2169</v>
      </c>
      <c r="D7" s="3">
        <f t="shared" si="0"/>
        <v>37</v>
      </c>
      <c r="E7" s="6">
        <f t="shared" si="1"/>
        <v>1.705855232826187E-2</v>
      </c>
      <c r="F7" s="6" t="str">
        <f t="shared" si="2"/>
        <v>Low Discount</v>
      </c>
      <c r="H7">
        <f t="shared" si="3"/>
        <v>0</v>
      </c>
      <c r="I7" s="5">
        <v>3.89</v>
      </c>
      <c r="J7" t="str">
        <f t="shared" si="4"/>
        <v>Average</v>
      </c>
    </row>
    <row r="8" spans="1:10" x14ac:dyDescent="0.35">
      <c r="A8" t="s">
        <v>49</v>
      </c>
      <c r="B8" s="3">
        <v>999</v>
      </c>
      <c r="C8" s="3">
        <v>2000</v>
      </c>
      <c r="D8" s="3">
        <f t="shared" si="0"/>
        <v>1001</v>
      </c>
      <c r="E8" s="6">
        <f t="shared" si="1"/>
        <v>0.50049999999999994</v>
      </c>
      <c r="F8" s="6" t="str">
        <f t="shared" si="2"/>
        <v>High Discount</v>
      </c>
      <c r="H8">
        <f t="shared" si="3"/>
        <v>0</v>
      </c>
      <c r="I8" s="5">
        <v>3.89</v>
      </c>
      <c r="J8" t="str">
        <f t="shared" si="4"/>
        <v>Average</v>
      </c>
    </row>
    <row r="9" spans="1:10" x14ac:dyDescent="0.35">
      <c r="A9" t="s">
        <v>50</v>
      </c>
      <c r="B9" s="3">
        <v>1190</v>
      </c>
      <c r="C9" s="3">
        <v>1785</v>
      </c>
      <c r="D9" s="3">
        <f t="shared" si="0"/>
        <v>595</v>
      </c>
      <c r="E9" s="6">
        <f t="shared" si="1"/>
        <v>0.33333333333333331</v>
      </c>
      <c r="F9" s="6" t="str">
        <f t="shared" si="2"/>
        <v>Medium Discount</v>
      </c>
      <c r="H9">
        <f t="shared" si="3"/>
        <v>0</v>
      </c>
      <c r="I9" s="5">
        <v>3.89</v>
      </c>
      <c r="J9" t="str">
        <f t="shared" si="4"/>
        <v>Average</v>
      </c>
    </row>
    <row r="10" spans="1:10" x14ac:dyDescent="0.35">
      <c r="A10" t="s">
        <v>51</v>
      </c>
      <c r="B10" s="3">
        <v>671</v>
      </c>
      <c r="C10" s="3">
        <v>1316</v>
      </c>
      <c r="D10" s="3">
        <f t="shared" si="0"/>
        <v>645</v>
      </c>
      <c r="E10" s="6">
        <f t="shared" si="1"/>
        <v>0.49012158054711247</v>
      </c>
      <c r="F10" s="6" t="str">
        <f t="shared" si="2"/>
        <v>High Discount</v>
      </c>
      <c r="H10">
        <f t="shared" si="3"/>
        <v>0</v>
      </c>
      <c r="I10" s="5">
        <v>3.89</v>
      </c>
      <c r="J10" t="str">
        <f t="shared" si="4"/>
        <v>Average</v>
      </c>
    </row>
    <row r="11" spans="1:10" x14ac:dyDescent="0.35">
      <c r="A11" t="s">
        <v>52</v>
      </c>
      <c r="B11" s="3">
        <v>1200</v>
      </c>
      <c r="C11" s="3">
        <v>1950</v>
      </c>
      <c r="D11" s="3">
        <f t="shared" si="0"/>
        <v>750</v>
      </c>
      <c r="E11" s="6">
        <f t="shared" si="1"/>
        <v>0.38461538461538464</v>
      </c>
      <c r="F11" s="6" t="str">
        <f t="shared" si="2"/>
        <v>Medium Discount</v>
      </c>
      <c r="H11">
        <f t="shared" si="3"/>
        <v>0</v>
      </c>
      <c r="I11" s="5">
        <v>3.89</v>
      </c>
      <c r="J11" t="str">
        <f t="shared" si="4"/>
        <v>Average</v>
      </c>
    </row>
    <row r="12" spans="1:10" x14ac:dyDescent="0.35">
      <c r="A12" t="s">
        <v>54</v>
      </c>
      <c r="B12" s="3">
        <v>299</v>
      </c>
      <c r="C12" s="3">
        <v>600</v>
      </c>
      <c r="D12" s="3">
        <f t="shared" si="0"/>
        <v>301</v>
      </c>
      <c r="E12" s="6">
        <f t="shared" si="1"/>
        <v>0.50166666666666671</v>
      </c>
      <c r="F12" s="6" t="str">
        <f t="shared" si="2"/>
        <v>High Discount</v>
      </c>
      <c r="H12">
        <f t="shared" si="3"/>
        <v>0</v>
      </c>
      <c r="I12" s="5">
        <v>3.89</v>
      </c>
      <c r="J12" t="str">
        <f t="shared" si="4"/>
        <v>Average</v>
      </c>
    </row>
    <row r="13" spans="1:10" x14ac:dyDescent="0.35">
      <c r="A13" t="s">
        <v>55</v>
      </c>
      <c r="B13" s="3">
        <v>1660</v>
      </c>
      <c r="C13" s="3">
        <v>1699</v>
      </c>
      <c r="D13" s="3">
        <f t="shared" si="0"/>
        <v>39</v>
      </c>
      <c r="E13" s="6">
        <f t="shared" si="1"/>
        <v>2.2954679223072396E-2</v>
      </c>
      <c r="F13" s="6" t="str">
        <f t="shared" si="2"/>
        <v>Low Discount</v>
      </c>
      <c r="H13">
        <f t="shared" si="3"/>
        <v>0</v>
      </c>
      <c r="I13" s="5">
        <v>3.89</v>
      </c>
      <c r="J13" t="str">
        <f t="shared" si="4"/>
        <v>Average</v>
      </c>
    </row>
    <row r="14" spans="1:10" x14ac:dyDescent="0.35">
      <c r="A14" t="s">
        <v>56</v>
      </c>
      <c r="B14" s="3">
        <v>299</v>
      </c>
      <c r="C14" s="3">
        <v>384</v>
      </c>
      <c r="D14" s="3">
        <f t="shared" si="0"/>
        <v>85</v>
      </c>
      <c r="E14" s="6">
        <f t="shared" si="1"/>
        <v>0.22135416666666666</v>
      </c>
      <c r="F14" s="6" t="str">
        <f t="shared" si="2"/>
        <v>Medium Discount</v>
      </c>
      <c r="H14">
        <f t="shared" si="3"/>
        <v>0</v>
      </c>
      <c r="I14" s="5">
        <v>3.89</v>
      </c>
      <c r="J14" t="str">
        <f t="shared" si="4"/>
        <v>Average</v>
      </c>
    </row>
    <row r="15" spans="1:10" x14ac:dyDescent="0.35">
      <c r="A15" t="s">
        <v>57</v>
      </c>
      <c r="B15" s="3">
        <v>1459</v>
      </c>
      <c r="C15" s="3">
        <v>1499</v>
      </c>
      <c r="D15" s="3">
        <f t="shared" si="0"/>
        <v>40</v>
      </c>
      <c r="E15" s="6">
        <f t="shared" si="1"/>
        <v>2.6684456304202801E-2</v>
      </c>
      <c r="F15" s="6" t="str">
        <f t="shared" si="2"/>
        <v>Low Discount</v>
      </c>
      <c r="H15">
        <f t="shared" si="3"/>
        <v>0</v>
      </c>
      <c r="I15" s="5">
        <v>3.89</v>
      </c>
      <c r="J15" t="str">
        <f t="shared" si="4"/>
        <v>Average</v>
      </c>
    </row>
    <row r="16" spans="1:10" x14ac:dyDescent="0.35">
      <c r="A16" t="s">
        <v>58</v>
      </c>
      <c r="B16" s="3">
        <v>799</v>
      </c>
      <c r="C16" s="3">
        <v>1343</v>
      </c>
      <c r="D16" s="3">
        <f t="shared" si="0"/>
        <v>544</v>
      </c>
      <c r="E16" s="6">
        <f t="shared" si="1"/>
        <v>0.4050632911392405</v>
      </c>
      <c r="F16" s="6" t="str">
        <f t="shared" si="2"/>
        <v>High Discount</v>
      </c>
      <c r="H16">
        <f t="shared" si="3"/>
        <v>0</v>
      </c>
      <c r="I16" s="5">
        <v>3.89</v>
      </c>
      <c r="J16" t="str">
        <f t="shared" si="4"/>
        <v>Average</v>
      </c>
    </row>
    <row r="17" spans="1:10" x14ac:dyDescent="0.35">
      <c r="A17" t="s">
        <v>60</v>
      </c>
      <c r="B17" s="3">
        <v>699</v>
      </c>
      <c r="C17" s="3">
        <v>1343</v>
      </c>
      <c r="D17" s="3">
        <f t="shared" si="0"/>
        <v>644</v>
      </c>
      <c r="E17" s="6">
        <f t="shared" si="1"/>
        <v>0.47952345495160087</v>
      </c>
      <c r="F17" s="6" t="str">
        <f t="shared" si="2"/>
        <v>High Discount</v>
      </c>
      <c r="H17">
        <f t="shared" si="3"/>
        <v>0</v>
      </c>
      <c r="I17" s="5">
        <v>3.89</v>
      </c>
      <c r="J17" t="str">
        <f t="shared" si="4"/>
        <v>Average</v>
      </c>
    </row>
    <row r="18" spans="1:10" x14ac:dyDescent="0.35">
      <c r="A18" t="s">
        <v>62</v>
      </c>
      <c r="B18" s="3">
        <v>2799</v>
      </c>
      <c r="C18" s="3">
        <v>3810</v>
      </c>
      <c r="D18" s="3">
        <f t="shared" si="0"/>
        <v>1011</v>
      </c>
      <c r="E18" s="6">
        <f t="shared" si="1"/>
        <v>0.26535433070866143</v>
      </c>
      <c r="F18" s="6" t="str">
        <f t="shared" si="2"/>
        <v>Medium Discount</v>
      </c>
      <c r="H18">
        <f t="shared" si="3"/>
        <v>0</v>
      </c>
      <c r="I18" s="5">
        <v>3.89</v>
      </c>
      <c r="J18" t="str">
        <f t="shared" si="4"/>
        <v>Average</v>
      </c>
    </row>
    <row r="19" spans="1:10" x14ac:dyDescent="0.35">
      <c r="A19" t="s">
        <v>78</v>
      </c>
      <c r="B19" s="3">
        <v>790</v>
      </c>
      <c r="C19" s="3">
        <v>1485</v>
      </c>
      <c r="D19" s="3">
        <f t="shared" si="0"/>
        <v>695</v>
      </c>
      <c r="E19" s="6">
        <f t="shared" si="1"/>
        <v>0.46801346801346799</v>
      </c>
      <c r="F19" s="6" t="str">
        <f t="shared" si="2"/>
        <v>High Discount</v>
      </c>
      <c r="H19">
        <f t="shared" si="3"/>
        <v>0</v>
      </c>
      <c r="I19" s="5">
        <v>3.89</v>
      </c>
      <c r="J19" t="str">
        <f t="shared" si="4"/>
        <v>Average</v>
      </c>
    </row>
    <row r="20" spans="1:10" x14ac:dyDescent="0.35">
      <c r="A20" t="s">
        <v>79</v>
      </c>
      <c r="B20" s="3">
        <v>690</v>
      </c>
      <c r="C20" s="3">
        <v>1200</v>
      </c>
      <c r="D20" s="3">
        <f t="shared" si="0"/>
        <v>510</v>
      </c>
      <c r="E20" s="6">
        <f t="shared" si="1"/>
        <v>0.42499999999999999</v>
      </c>
      <c r="F20" s="6" t="str">
        <f t="shared" si="2"/>
        <v>High Discount</v>
      </c>
      <c r="H20">
        <f t="shared" si="3"/>
        <v>0</v>
      </c>
      <c r="I20" s="5">
        <v>3.89</v>
      </c>
      <c r="J20" t="str">
        <f t="shared" si="4"/>
        <v>Average</v>
      </c>
    </row>
    <row r="21" spans="1:10" x14ac:dyDescent="0.35">
      <c r="A21" t="s">
        <v>80</v>
      </c>
      <c r="B21" s="3">
        <v>1732</v>
      </c>
      <c r="C21" s="3">
        <v>1799</v>
      </c>
      <c r="D21" s="3">
        <f t="shared" si="0"/>
        <v>67</v>
      </c>
      <c r="E21" s="6">
        <f t="shared" si="1"/>
        <v>3.7242912729294052E-2</v>
      </c>
      <c r="F21" s="6" t="str">
        <f t="shared" si="2"/>
        <v>Low Discount</v>
      </c>
      <c r="H21">
        <f t="shared" si="3"/>
        <v>0</v>
      </c>
      <c r="I21" s="5">
        <v>3.89</v>
      </c>
      <c r="J21" t="str">
        <f t="shared" si="4"/>
        <v>Average</v>
      </c>
    </row>
    <row r="22" spans="1:10" x14ac:dyDescent="0.35">
      <c r="A22" t="s">
        <v>81</v>
      </c>
      <c r="B22" s="3">
        <v>230</v>
      </c>
      <c r="C22" s="3">
        <v>450</v>
      </c>
      <c r="D22" s="3">
        <f t="shared" si="0"/>
        <v>220</v>
      </c>
      <c r="E22" s="6">
        <f t="shared" si="1"/>
        <v>0.48888888888888887</v>
      </c>
      <c r="F22" s="6" t="str">
        <f t="shared" si="2"/>
        <v>High Discount</v>
      </c>
      <c r="H22">
        <f t="shared" si="3"/>
        <v>0</v>
      </c>
      <c r="I22" s="5">
        <v>3.89</v>
      </c>
      <c r="J22" t="str">
        <f t="shared" si="4"/>
        <v>Average</v>
      </c>
    </row>
    <row r="23" spans="1:10" x14ac:dyDescent="0.35">
      <c r="A23" t="s">
        <v>84</v>
      </c>
      <c r="B23" s="3">
        <v>1460</v>
      </c>
      <c r="C23" s="3">
        <v>2290</v>
      </c>
      <c r="D23" s="3">
        <f t="shared" si="0"/>
        <v>830</v>
      </c>
      <c r="E23" s="6">
        <f t="shared" si="1"/>
        <v>0.36244541484716158</v>
      </c>
      <c r="F23" s="6" t="str">
        <f t="shared" si="2"/>
        <v>Medium Discount</v>
      </c>
      <c r="H23">
        <f t="shared" si="3"/>
        <v>0</v>
      </c>
      <c r="I23" s="5">
        <v>3.89</v>
      </c>
      <c r="J23" t="str">
        <f t="shared" si="4"/>
        <v>Average</v>
      </c>
    </row>
    <row r="24" spans="1:10" x14ac:dyDescent="0.35">
      <c r="A24" t="s">
        <v>85</v>
      </c>
      <c r="B24" s="3">
        <v>1666</v>
      </c>
      <c r="C24" s="3">
        <v>1699</v>
      </c>
      <c r="D24" s="3">
        <f t="shared" si="0"/>
        <v>33</v>
      </c>
      <c r="E24" s="6">
        <f t="shared" si="1"/>
        <v>1.9423190111830489E-2</v>
      </c>
      <c r="F24" s="6" t="str">
        <f t="shared" si="2"/>
        <v>Low Discount</v>
      </c>
      <c r="H24">
        <f t="shared" si="3"/>
        <v>0</v>
      </c>
      <c r="I24" s="5">
        <v>3.89</v>
      </c>
      <c r="J24" t="str">
        <f t="shared" si="4"/>
        <v>Average</v>
      </c>
    </row>
    <row r="25" spans="1:10" x14ac:dyDescent="0.35">
      <c r="A25" t="s">
        <v>87</v>
      </c>
      <c r="B25" s="3">
        <v>1466</v>
      </c>
      <c r="C25" s="3">
        <v>1699</v>
      </c>
      <c r="D25" s="3">
        <f t="shared" si="0"/>
        <v>233</v>
      </c>
      <c r="E25" s="6">
        <f t="shared" si="1"/>
        <v>0.13713949381989404</v>
      </c>
      <c r="F25" s="6" t="str">
        <f t="shared" si="2"/>
        <v>Low Discount</v>
      </c>
      <c r="H25">
        <f t="shared" si="3"/>
        <v>0</v>
      </c>
      <c r="I25" s="5">
        <v>3.89</v>
      </c>
      <c r="J25" t="str">
        <f t="shared" si="4"/>
        <v>Average</v>
      </c>
    </row>
    <row r="26" spans="1:10" x14ac:dyDescent="0.35">
      <c r="A26" t="s">
        <v>88</v>
      </c>
      <c r="B26" s="3">
        <v>274</v>
      </c>
      <c r="C26" s="3">
        <v>537</v>
      </c>
      <c r="D26" s="3">
        <f t="shared" si="0"/>
        <v>263</v>
      </c>
      <c r="E26" s="6">
        <f t="shared" si="1"/>
        <v>0.48975791433891991</v>
      </c>
      <c r="F26" s="6" t="str">
        <f t="shared" si="2"/>
        <v>High Discount</v>
      </c>
      <c r="H26">
        <f t="shared" si="3"/>
        <v>0</v>
      </c>
      <c r="I26" s="5">
        <v>3.89</v>
      </c>
      <c r="J26" t="str">
        <f t="shared" si="4"/>
        <v>Average</v>
      </c>
    </row>
    <row r="27" spans="1:10" x14ac:dyDescent="0.35">
      <c r="A27" t="s">
        <v>89</v>
      </c>
      <c r="B27" s="3">
        <v>799</v>
      </c>
      <c r="C27" s="3">
        <v>900</v>
      </c>
      <c r="D27" s="3">
        <f t="shared" si="0"/>
        <v>101</v>
      </c>
      <c r="E27" s="6">
        <f t="shared" si="1"/>
        <v>0.11222222222222222</v>
      </c>
      <c r="F27" s="6" t="str">
        <f t="shared" si="2"/>
        <v>Low Discount</v>
      </c>
      <c r="H27">
        <f t="shared" si="3"/>
        <v>0</v>
      </c>
      <c r="I27" s="5">
        <v>3.89</v>
      </c>
      <c r="J27" t="str">
        <f t="shared" si="4"/>
        <v>Average</v>
      </c>
    </row>
    <row r="28" spans="1:10" x14ac:dyDescent="0.35">
      <c r="A28" t="s">
        <v>90</v>
      </c>
      <c r="B28" s="3">
        <v>1468</v>
      </c>
      <c r="C28" s="3">
        <v>1699</v>
      </c>
      <c r="D28" s="3">
        <f t="shared" si="0"/>
        <v>231</v>
      </c>
      <c r="E28" s="6">
        <f t="shared" si="1"/>
        <v>0.13596233078281342</v>
      </c>
      <c r="F28" s="6" t="str">
        <f t="shared" si="2"/>
        <v>Low Discount</v>
      </c>
      <c r="H28">
        <f t="shared" si="3"/>
        <v>0</v>
      </c>
      <c r="I28" s="5">
        <v>3.89</v>
      </c>
      <c r="J28" t="str">
        <f t="shared" si="4"/>
        <v>Average</v>
      </c>
    </row>
    <row r="29" spans="1:10" x14ac:dyDescent="0.35">
      <c r="A29" t="s">
        <v>91</v>
      </c>
      <c r="B29" s="3">
        <v>630</v>
      </c>
      <c r="C29" s="3">
        <v>1100</v>
      </c>
      <c r="D29" s="3">
        <f t="shared" si="0"/>
        <v>470</v>
      </c>
      <c r="E29" s="6">
        <f t="shared" si="1"/>
        <v>0.42727272727272725</v>
      </c>
      <c r="F29" s="6" t="str">
        <f t="shared" si="2"/>
        <v>High Discount</v>
      </c>
      <c r="H29">
        <f t="shared" si="3"/>
        <v>0</v>
      </c>
      <c r="I29" s="5">
        <v>3.89</v>
      </c>
      <c r="J29" t="str">
        <f t="shared" si="4"/>
        <v>Average</v>
      </c>
    </row>
    <row r="30" spans="1:10" x14ac:dyDescent="0.35">
      <c r="A30" t="s">
        <v>92</v>
      </c>
      <c r="B30" s="3">
        <v>850</v>
      </c>
      <c r="C30" s="3">
        <v>1700</v>
      </c>
      <c r="D30" s="3">
        <f t="shared" si="0"/>
        <v>850</v>
      </c>
      <c r="E30" s="6">
        <f t="shared" si="1"/>
        <v>0.5</v>
      </c>
      <c r="F30" s="6" t="str">
        <f t="shared" si="2"/>
        <v>High Discount</v>
      </c>
      <c r="H30">
        <f t="shared" si="3"/>
        <v>0</v>
      </c>
      <c r="I30" s="5">
        <v>3.89</v>
      </c>
      <c r="J30" t="str">
        <f t="shared" si="4"/>
        <v>Average</v>
      </c>
    </row>
    <row r="31" spans="1:10" x14ac:dyDescent="0.35">
      <c r="A31" t="s">
        <v>93</v>
      </c>
      <c r="B31" s="3">
        <v>1300</v>
      </c>
      <c r="C31" s="3">
        <v>2500</v>
      </c>
      <c r="D31" s="3">
        <f t="shared" si="0"/>
        <v>1200</v>
      </c>
      <c r="E31" s="6">
        <f t="shared" si="1"/>
        <v>0.48</v>
      </c>
      <c r="F31" s="6" t="str">
        <f t="shared" si="2"/>
        <v>High Discount</v>
      </c>
      <c r="H31">
        <f t="shared" si="3"/>
        <v>0</v>
      </c>
      <c r="I31" s="5">
        <v>3.89</v>
      </c>
      <c r="J31" t="str">
        <f t="shared" si="4"/>
        <v>Average</v>
      </c>
    </row>
    <row r="32" spans="1:10" x14ac:dyDescent="0.35">
      <c r="A32" t="s">
        <v>94</v>
      </c>
      <c r="B32" s="3">
        <v>105</v>
      </c>
      <c r="C32" s="3">
        <v>200</v>
      </c>
      <c r="D32" s="3">
        <f t="shared" si="0"/>
        <v>95</v>
      </c>
      <c r="E32" s="6">
        <f t="shared" si="1"/>
        <v>0.47499999999999998</v>
      </c>
      <c r="F32" s="6" t="str">
        <f t="shared" si="2"/>
        <v>High Discount</v>
      </c>
      <c r="H32">
        <f t="shared" si="3"/>
        <v>0</v>
      </c>
      <c r="I32" s="5">
        <v>3.89</v>
      </c>
      <c r="J32" t="str">
        <f t="shared" si="4"/>
        <v>Average</v>
      </c>
    </row>
    <row r="33" spans="1:10" x14ac:dyDescent="0.35">
      <c r="A33" t="s">
        <v>96</v>
      </c>
      <c r="B33" s="3">
        <v>1200</v>
      </c>
      <c r="C33" s="3">
        <v>2400</v>
      </c>
      <c r="D33" s="3">
        <f t="shared" si="0"/>
        <v>1200</v>
      </c>
      <c r="E33" s="6">
        <f t="shared" si="1"/>
        <v>0.5</v>
      </c>
      <c r="F33" s="6" t="str">
        <f t="shared" si="2"/>
        <v>High Discount</v>
      </c>
      <c r="H33">
        <f t="shared" si="3"/>
        <v>0</v>
      </c>
      <c r="I33" s="5">
        <v>3.89</v>
      </c>
      <c r="J33" t="str">
        <f t="shared" si="4"/>
        <v>Average</v>
      </c>
    </row>
    <row r="34" spans="1:10" x14ac:dyDescent="0.35">
      <c r="A34" t="s">
        <v>97</v>
      </c>
      <c r="B34" s="3">
        <v>1526</v>
      </c>
      <c r="C34" s="3">
        <v>1660</v>
      </c>
      <c r="D34" s="3">
        <f t="shared" ref="D34:D56" si="5">C34-B34</f>
        <v>134</v>
      </c>
      <c r="E34" s="6">
        <f t="shared" ref="E34:E56" si="6">D34/C34</f>
        <v>8.0722891566265054E-2</v>
      </c>
      <c r="F34" s="6" t="str">
        <f t="shared" ref="F34:F64" si="7">IF(E34&lt;20%,"Low Discount",IF(E34&lt;=40%,"Medium Discount",IF(E34&gt;40%,"High Discount")))</f>
        <v>Low Discount</v>
      </c>
      <c r="H34">
        <f t="shared" ref="H34:H56" si="8">IF(G34&lt;0,-G34,G34)</f>
        <v>0</v>
      </c>
      <c r="I34" s="5">
        <v>3.89</v>
      </c>
      <c r="J34" t="str">
        <f t="shared" si="4"/>
        <v>Average</v>
      </c>
    </row>
    <row r="35" spans="1:10" x14ac:dyDescent="0.35">
      <c r="A35" t="s">
        <v>98</v>
      </c>
      <c r="B35" s="3">
        <v>1462</v>
      </c>
      <c r="C35" s="3">
        <v>1499</v>
      </c>
      <c r="D35" s="3">
        <f t="shared" si="5"/>
        <v>37</v>
      </c>
      <c r="E35" s="6">
        <f t="shared" si="6"/>
        <v>2.4683122081387593E-2</v>
      </c>
      <c r="F35" s="6" t="str">
        <f t="shared" si="7"/>
        <v>Low Discount</v>
      </c>
      <c r="H35">
        <f t="shared" si="8"/>
        <v>0</v>
      </c>
      <c r="I35" s="5">
        <v>3.89</v>
      </c>
      <c r="J35" t="str">
        <f t="shared" si="4"/>
        <v>Average</v>
      </c>
    </row>
    <row r="36" spans="1:10" x14ac:dyDescent="0.35">
      <c r="A36" t="s">
        <v>99</v>
      </c>
      <c r="B36" s="3">
        <v>248</v>
      </c>
      <c r="C36" s="3">
        <v>486</v>
      </c>
      <c r="D36" s="3">
        <f t="shared" si="5"/>
        <v>238</v>
      </c>
      <c r="E36" s="6">
        <f t="shared" si="6"/>
        <v>0.48971193415637859</v>
      </c>
      <c r="F36" s="6" t="str">
        <f t="shared" si="7"/>
        <v>High Discount</v>
      </c>
      <c r="H36">
        <f t="shared" si="8"/>
        <v>0</v>
      </c>
      <c r="I36" s="5">
        <v>3.89</v>
      </c>
      <c r="J36" t="str">
        <f t="shared" si="4"/>
        <v>Average</v>
      </c>
    </row>
    <row r="37" spans="1:10" x14ac:dyDescent="0.35">
      <c r="A37" t="s">
        <v>100</v>
      </c>
      <c r="B37" s="3">
        <v>3546</v>
      </c>
      <c r="C37" s="3">
        <v>3699</v>
      </c>
      <c r="D37" s="3">
        <f t="shared" si="5"/>
        <v>153</v>
      </c>
      <c r="E37" s="6">
        <f t="shared" si="6"/>
        <v>4.1362530413625302E-2</v>
      </c>
      <c r="F37" s="6" t="str">
        <f t="shared" si="7"/>
        <v>Low Discount</v>
      </c>
      <c r="H37">
        <f t="shared" si="8"/>
        <v>0</v>
      </c>
      <c r="I37" s="5">
        <v>3.89</v>
      </c>
      <c r="J37" t="str">
        <f t="shared" si="4"/>
        <v>Average</v>
      </c>
    </row>
    <row r="38" spans="1:10" x14ac:dyDescent="0.35">
      <c r="A38" t="s">
        <v>101</v>
      </c>
      <c r="B38" s="3">
        <v>525</v>
      </c>
      <c r="C38" s="3">
        <v>1029</v>
      </c>
      <c r="D38" s="3">
        <f t="shared" si="5"/>
        <v>504</v>
      </c>
      <c r="E38" s="6">
        <f t="shared" si="6"/>
        <v>0.48979591836734693</v>
      </c>
      <c r="F38" s="6" t="str">
        <f t="shared" si="7"/>
        <v>High Discount</v>
      </c>
      <c r="H38">
        <f t="shared" si="8"/>
        <v>0</v>
      </c>
      <c r="I38" s="5">
        <v>3.89</v>
      </c>
      <c r="J38" t="str">
        <f t="shared" si="4"/>
        <v>Average</v>
      </c>
    </row>
    <row r="39" spans="1:10" x14ac:dyDescent="0.35">
      <c r="A39" t="s">
        <v>102</v>
      </c>
      <c r="B39" s="3">
        <v>1080</v>
      </c>
      <c r="C39" s="3">
        <v>1874</v>
      </c>
      <c r="D39" s="3">
        <f t="shared" si="5"/>
        <v>794</v>
      </c>
      <c r="E39" s="6">
        <f t="shared" si="6"/>
        <v>0.42369263607257202</v>
      </c>
      <c r="F39" s="6" t="str">
        <f t="shared" si="7"/>
        <v>High Discount</v>
      </c>
      <c r="H39">
        <f t="shared" si="8"/>
        <v>0</v>
      </c>
      <c r="I39" s="5">
        <v>3.89</v>
      </c>
      <c r="J39" t="str">
        <f t="shared" si="4"/>
        <v>Average</v>
      </c>
    </row>
    <row r="40" spans="1:10" x14ac:dyDescent="0.35">
      <c r="A40" t="s">
        <v>104</v>
      </c>
      <c r="B40" s="3">
        <v>1420</v>
      </c>
      <c r="C40" s="3">
        <v>2420</v>
      </c>
      <c r="D40" s="3">
        <f t="shared" si="5"/>
        <v>1000</v>
      </c>
      <c r="E40" s="6">
        <f t="shared" si="6"/>
        <v>0.41322314049586778</v>
      </c>
      <c r="F40" s="6" t="str">
        <f t="shared" si="7"/>
        <v>High Discount</v>
      </c>
      <c r="H40">
        <f t="shared" si="8"/>
        <v>0</v>
      </c>
      <c r="I40" s="5">
        <v>3.89</v>
      </c>
      <c r="J40" t="str">
        <f t="shared" si="4"/>
        <v>Average</v>
      </c>
    </row>
    <row r="41" spans="1:10" x14ac:dyDescent="0.35">
      <c r="A41" t="s">
        <v>105</v>
      </c>
      <c r="B41" s="3">
        <v>1875</v>
      </c>
      <c r="C41" s="3">
        <v>1899</v>
      </c>
      <c r="D41" s="3">
        <f t="shared" si="5"/>
        <v>24</v>
      </c>
      <c r="E41" s="6">
        <f t="shared" si="6"/>
        <v>1.2638230647709321E-2</v>
      </c>
      <c r="F41" s="6" t="str">
        <f t="shared" si="7"/>
        <v>Low Discount</v>
      </c>
      <c r="H41">
        <f t="shared" si="8"/>
        <v>0</v>
      </c>
      <c r="I41" s="5">
        <v>3.89</v>
      </c>
      <c r="J41" t="str">
        <f t="shared" si="4"/>
        <v>Average</v>
      </c>
    </row>
    <row r="42" spans="1:10" x14ac:dyDescent="0.35">
      <c r="A42" t="s">
        <v>106</v>
      </c>
      <c r="B42" s="3">
        <v>198</v>
      </c>
      <c r="C42" s="3">
        <v>260</v>
      </c>
      <c r="D42" s="3">
        <f t="shared" si="5"/>
        <v>62</v>
      </c>
      <c r="E42" s="6">
        <f t="shared" si="6"/>
        <v>0.23846153846153847</v>
      </c>
      <c r="F42" s="6" t="str">
        <f t="shared" si="7"/>
        <v>Medium Discount</v>
      </c>
      <c r="H42">
        <f t="shared" si="8"/>
        <v>0</v>
      </c>
      <c r="I42" s="5">
        <v>3.89</v>
      </c>
      <c r="J42" t="str">
        <f t="shared" si="4"/>
        <v>Average</v>
      </c>
    </row>
    <row r="43" spans="1:10" x14ac:dyDescent="0.35">
      <c r="A43" t="s">
        <v>107</v>
      </c>
      <c r="B43" s="3">
        <v>1150</v>
      </c>
      <c r="C43" s="3">
        <v>1737</v>
      </c>
      <c r="D43" s="3">
        <f t="shared" si="5"/>
        <v>587</v>
      </c>
      <c r="E43" s="6">
        <f t="shared" si="6"/>
        <v>0.3379389752446747</v>
      </c>
      <c r="F43" s="6" t="str">
        <f t="shared" si="7"/>
        <v>Medium Discount</v>
      </c>
      <c r="H43">
        <f t="shared" si="8"/>
        <v>0</v>
      </c>
      <c r="I43" s="5">
        <v>3.89</v>
      </c>
      <c r="J43" t="str">
        <f t="shared" si="4"/>
        <v>Average</v>
      </c>
    </row>
    <row r="44" spans="1:10" x14ac:dyDescent="0.35">
      <c r="A44" t="s">
        <v>108</v>
      </c>
      <c r="B44" s="3">
        <v>1190</v>
      </c>
      <c r="C44" s="3">
        <v>1810</v>
      </c>
      <c r="D44" s="3">
        <f t="shared" si="5"/>
        <v>620</v>
      </c>
      <c r="E44" s="6">
        <f t="shared" si="6"/>
        <v>0.34254143646408841</v>
      </c>
      <c r="F44" s="6" t="str">
        <f t="shared" si="7"/>
        <v>Medium Discount</v>
      </c>
      <c r="H44">
        <f t="shared" si="8"/>
        <v>0</v>
      </c>
      <c r="I44" s="5">
        <v>3.89</v>
      </c>
      <c r="J44" t="str">
        <f t="shared" si="4"/>
        <v>Average</v>
      </c>
    </row>
    <row r="45" spans="1:10" x14ac:dyDescent="0.35">
      <c r="A45" t="s">
        <v>109</v>
      </c>
      <c r="B45" s="3">
        <v>1658</v>
      </c>
      <c r="C45" s="3">
        <v>1699</v>
      </c>
      <c r="D45" s="3">
        <f t="shared" si="5"/>
        <v>41</v>
      </c>
      <c r="E45" s="6">
        <f t="shared" si="6"/>
        <v>2.4131842260153032E-2</v>
      </c>
      <c r="F45" s="6" t="str">
        <f t="shared" si="7"/>
        <v>Low Discount</v>
      </c>
      <c r="H45">
        <f t="shared" si="8"/>
        <v>0</v>
      </c>
      <c r="I45" s="5">
        <v>3.89</v>
      </c>
      <c r="J45" t="str">
        <f t="shared" si="4"/>
        <v>Average</v>
      </c>
    </row>
    <row r="46" spans="1:10" x14ac:dyDescent="0.35">
      <c r="A46" t="s">
        <v>110</v>
      </c>
      <c r="B46" s="3">
        <v>1768</v>
      </c>
      <c r="C46" s="3">
        <v>1799</v>
      </c>
      <c r="D46" s="3">
        <f t="shared" si="5"/>
        <v>31</v>
      </c>
      <c r="E46" s="6">
        <f t="shared" si="6"/>
        <v>1.7231795441912175E-2</v>
      </c>
      <c r="F46" s="6" t="str">
        <f t="shared" si="7"/>
        <v>Low Discount</v>
      </c>
      <c r="H46">
        <f t="shared" si="8"/>
        <v>0</v>
      </c>
      <c r="I46" s="5">
        <v>3.89</v>
      </c>
      <c r="J46" t="str">
        <f t="shared" si="4"/>
        <v>Average</v>
      </c>
    </row>
    <row r="47" spans="1:10" x14ac:dyDescent="0.35">
      <c r="A47" t="s">
        <v>111</v>
      </c>
      <c r="B47" s="3">
        <v>199</v>
      </c>
      <c r="C47" s="3">
        <v>553</v>
      </c>
      <c r="D47" s="3">
        <f t="shared" si="5"/>
        <v>354</v>
      </c>
      <c r="E47" s="6">
        <f t="shared" si="6"/>
        <v>0.64014466546112114</v>
      </c>
      <c r="F47" s="6" t="str">
        <f t="shared" si="7"/>
        <v>High Discount</v>
      </c>
      <c r="H47">
        <f t="shared" si="8"/>
        <v>0</v>
      </c>
      <c r="I47" s="5">
        <v>3.89</v>
      </c>
      <c r="J47" t="str">
        <f t="shared" si="4"/>
        <v>Average</v>
      </c>
    </row>
    <row r="48" spans="1:10" x14ac:dyDescent="0.35">
      <c r="A48" t="s">
        <v>113</v>
      </c>
      <c r="B48" s="3">
        <v>169</v>
      </c>
      <c r="C48" s="3">
        <v>320</v>
      </c>
      <c r="D48" s="3">
        <f t="shared" si="5"/>
        <v>151</v>
      </c>
      <c r="E48" s="6">
        <f t="shared" si="6"/>
        <v>0.47187499999999999</v>
      </c>
      <c r="F48" s="6" t="str">
        <f t="shared" si="7"/>
        <v>High Discount</v>
      </c>
      <c r="H48">
        <f t="shared" si="8"/>
        <v>0</v>
      </c>
      <c r="I48" s="5">
        <v>3.89</v>
      </c>
      <c r="J48" t="str">
        <f t="shared" si="4"/>
        <v>Average</v>
      </c>
    </row>
    <row r="49" spans="1:10" x14ac:dyDescent="0.35">
      <c r="A49" t="s">
        <v>47</v>
      </c>
      <c r="B49" s="3">
        <v>610</v>
      </c>
      <c r="C49" s="3">
        <v>1060</v>
      </c>
      <c r="D49" s="3">
        <f t="shared" si="5"/>
        <v>450</v>
      </c>
      <c r="E49" s="6">
        <f t="shared" si="6"/>
        <v>0.42452830188679247</v>
      </c>
      <c r="F49" s="6" t="str">
        <f t="shared" si="7"/>
        <v>High Discount</v>
      </c>
      <c r="H49">
        <f t="shared" si="8"/>
        <v>0</v>
      </c>
      <c r="I49" s="5">
        <v>3.89</v>
      </c>
      <c r="J49" t="str">
        <f t="shared" si="4"/>
        <v>Average</v>
      </c>
    </row>
    <row r="50" spans="1:10" x14ac:dyDescent="0.35">
      <c r="A50" t="s">
        <v>53</v>
      </c>
      <c r="B50" s="3">
        <v>199</v>
      </c>
      <c r="C50" s="3">
        <v>504</v>
      </c>
      <c r="D50" s="3">
        <f t="shared" si="5"/>
        <v>305</v>
      </c>
      <c r="E50" s="6">
        <f t="shared" si="6"/>
        <v>0.60515873015873012</v>
      </c>
      <c r="F50" s="6" t="str">
        <f t="shared" si="7"/>
        <v>High Discount</v>
      </c>
      <c r="H50">
        <f t="shared" si="8"/>
        <v>0</v>
      </c>
      <c r="I50" s="5">
        <v>3.89</v>
      </c>
      <c r="J50" t="str">
        <f t="shared" si="4"/>
        <v>Average</v>
      </c>
    </row>
    <row r="51" spans="1:10" x14ac:dyDescent="0.35">
      <c r="A51" t="s">
        <v>59</v>
      </c>
      <c r="B51" s="3">
        <v>499</v>
      </c>
      <c r="C51" s="3">
        <v>900</v>
      </c>
      <c r="D51" s="3">
        <f t="shared" si="5"/>
        <v>401</v>
      </c>
      <c r="E51" s="6">
        <f t="shared" si="6"/>
        <v>0.44555555555555554</v>
      </c>
      <c r="F51" s="6" t="str">
        <f t="shared" si="7"/>
        <v>High Discount</v>
      </c>
      <c r="H51">
        <f t="shared" si="8"/>
        <v>0</v>
      </c>
      <c r="I51" s="5">
        <v>3.89</v>
      </c>
      <c r="J51" t="str">
        <f t="shared" si="4"/>
        <v>Average</v>
      </c>
    </row>
    <row r="52" spans="1:10" x14ac:dyDescent="0.35">
      <c r="A52" t="s">
        <v>61</v>
      </c>
      <c r="B52" s="3">
        <v>799</v>
      </c>
      <c r="C52" s="3">
        <v>1567</v>
      </c>
      <c r="D52" s="3">
        <f t="shared" si="5"/>
        <v>768</v>
      </c>
      <c r="E52" s="6">
        <f t="shared" si="6"/>
        <v>0.49010848755583919</v>
      </c>
      <c r="F52" s="6" t="str">
        <f t="shared" si="7"/>
        <v>High Discount</v>
      </c>
      <c r="H52">
        <f t="shared" si="8"/>
        <v>0</v>
      </c>
      <c r="I52" s="5">
        <v>3.89</v>
      </c>
      <c r="J52" t="str">
        <f t="shared" si="4"/>
        <v>Average</v>
      </c>
    </row>
    <row r="53" spans="1:10" x14ac:dyDescent="0.35">
      <c r="A53" t="s">
        <v>59</v>
      </c>
      <c r="B53" s="3">
        <v>399</v>
      </c>
      <c r="C53" s="3">
        <v>896</v>
      </c>
      <c r="D53" s="3">
        <f t="shared" si="5"/>
        <v>497</v>
      </c>
      <c r="E53" s="6">
        <f t="shared" si="6"/>
        <v>0.5546875</v>
      </c>
      <c r="F53" s="6" t="str">
        <f t="shared" si="7"/>
        <v>High Discount</v>
      </c>
      <c r="H53">
        <f t="shared" si="8"/>
        <v>0</v>
      </c>
      <c r="I53" s="5">
        <v>3.89</v>
      </c>
      <c r="J53" t="str">
        <f t="shared" si="4"/>
        <v>Average</v>
      </c>
    </row>
    <row r="54" spans="1:10" x14ac:dyDescent="0.35">
      <c r="A54" t="s">
        <v>53</v>
      </c>
      <c r="B54" s="3">
        <v>176</v>
      </c>
      <c r="C54" s="3">
        <v>345</v>
      </c>
      <c r="D54" s="3">
        <f t="shared" si="5"/>
        <v>169</v>
      </c>
      <c r="E54" s="6">
        <f t="shared" si="6"/>
        <v>0.48985507246376814</v>
      </c>
      <c r="F54" s="6" t="str">
        <f t="shared" si="7"/>
        <v>High Discount</v>
      </c>
      <c r="H54">
        <f t="shared" si="8"/>
        <v>0</v>
      </c>
      <c r="I54" s="5">
        <v>3.89</v>
      </c>
      <c r="J54" t="str">
        <f t="shared" si="4"/>
        <v>Average</v>
      </c>
    </row>
    <row r="55" spans="1:10" x14ac:dyDescent="0.35">
      <c r="A55" t="s">
        <v>61</v>
      </c>
      <c r="B55" s="3">
        <v>657</v>
      </c>
      <c r="C55" s="3">
        <v>1288</v>
      </c>
      <c r="D55" s="3">
        <f t="shared" si="5"/>
        <v>631</v>
      </c>
      <c r="E55" s="6">
        <f t="shared" si="6"/>
        <v>0.48990683229813664</v>
      </c>
      <c r="F55" s="6" t="str">
        <f t="shared" si="7"/>
        <v>High Discount</v>
      </c>
      <c r="H55">
        <f t="shared" si="8"/>
        <v>0</v>
      </c>
      <c r="I55" s="5">
        <v>3.89</v>
      </c>
      <c r="J55" t="str">
        <f t="shared" si="4"/>
        <v>Average</v>
      </c>
    </row>
    <row r="56" spans="1:10" x14ac:dyDescent="0.35">
      <c r="A56" t="s">
        <v>95</v>
      </c>
      <c r="B56" s="3">
        <v>899</v>
      </c>
      <c r="C56" s="3">
        <v>1699</v>
      </c>
      <c r="D56" s="3">
        <f t="shared" si="5"/>
        <v>800</v>
      </c>
      <c r="E56" s="6">
        <f t="shared" si="6"/>
        <v>0.47086521483225424</v>
      </c>
      <c r="F56" s="6" t="str">
        <f t="shared" si="7"/>
        <v>High Discount</v>
      </c>
      <c r="H56">
        <f t="shared" si="8"/>
        <v>0</v>
      </c>
      <c r="I56" s="5">
        <v>3.89</v>
      </c>
      <c r="J56" t="str">
        <f t="shared" si="4"/>
        <v>Average</v>
      </c>
    </row>
    <row r="57" spans="1:10" x14ac:dyDescent="0.35">
      <c r="A57" t="s">
        <v>20</v>
      </c>
      <c r="B57" s="3">
        <v>332</v>
      </c>
      <c r="C57" s="3">
        <v>684</v>
      </c>
      <c r="D57" s="3">
        <f t="shared" ref="D57:D88" si="9">C57-B57</f>
        <v>352</v>
      </c>
      <c r="E57" s="6">
        <f t="shared" ref="E57:E88" si="10">D57/C57</f>
        <v>0.51461988304093564</v>
      </c>
      <c r="F57" s="6" t="str">
        <f t="shared" si="7"/>
        <v>High Discount</v>
      </c>
      <c r="G57">
        <v>-2</v>
      </c>
      <c r="H57">
        <f t="shared" ref="H57:H88" si="11">IF(G57&lt;0,-G57,G57)</f>
        <v>2</v>
      </c>
      <c r="I57" s="5">
        <v>5</v>
      </c>
      <c r="J57" t="str">
        <f t="shared" si="4"/>
        <v>Excellent</v>
      </c>
    </row>
    <row r="58" spans="1:10" x14ac:dyDescent="0.35">
      <c r="A58" t="s">
        <v>21</v>
      </c>
      <c r="B58" s="3">
        <v>195</v>
      </c>
      <c r="C58" s="3">
        <v>360</v>
      </c>
      <c r="D58" s="3">
        <f t="shared" si="9"/>
        <v>165</v>
      </c>
      <c r="E58" s="6">
        <f t="shared" si="10"/>
        <v>0.45833333333333331</v>
      </c>
      <c r="F58" s="6" t="str">
        <f t="shared" si="7"/>
        <v>High Discount</v>
      </c>
      <c r="G58">
        <v>-2</v>
      </c>
      <c r="H58">
        <f t="shared" si="11"/>
        <v>2</v>
      </c>
      <c r="I58" s="5">
        <v>5</v>
      </c>
      <c r="J58" t="str">
        <f t="shared" si="4"/>
        <v>Excellent</v>
      </c>
    </row>
    <row r="59" spans="1:10" x14ac:dyDescent="0.35">
      <c r="A59" t="s">
        <v>22</v>
      </c>
      <c r="B59" s="3">
        <v>2025</v>
      </c>
      <c r="C59" s="3">
        <v>3971</v>
      </c>
      <c r="D59" s="3">
        <f t="shared" si="9"/>
        <v>1946</v>
      </c>
      <c r="E59" s="6">
        <f t="shared" si="10"/>
        <v>0.49005288340468395</v>
      </c>
      <c r="F59" s="6" t="str">
        <f t="shared" si="7"/>
        <v>High Discount</v>
      </c>
      <c r="G59">
        <v>-3</v>
      </c>
      <c r="H59">
        <f t="shared" si="11"/>
        <v>3</v>
      </c>
      <c r="I59" s="5">
        <v>5</v>
      </c>
      <c r="J59" t="str">
        <f t="shared" si="4"/>
        <v>Excellent</v>
      </c>
    </row>
    <row r="60" spans="1:10" x14ac:dyDescent="0.35">
      <c r="A60" t="s">
        <v>40</v>
      </c>
      <c r="B60" s="3">
        <v>1620</v>
      </c>
      <c r="C60" s="3">
        <v>2690</v>
      </c>
      <c r="D60" s="3">
        <f t="shared" si="9"/>
        <v>1070</v>
      </c>
      <c r="E60" s="6">
        <f t="shared" si="10"/>
        <v>0.39776951672862454</v>
      </c>
      <c r="F60" s="6" t="str">
        <f t="shared" si="7"/>
        <v>Medium Discount</v>
      </c>
      <c r="G60">
        <v>-1</v>
      </c>
      <c r="H60">
        <f t="shared" si="11"/>
        <v>1</v>
      </c>
      <c r="I60" s="5">
        <v>5</v>
      </c>
      <c r="J60" t="str">
        <f t="shared" si="4"/>
        <v>Excellent</v>
      </c>
    </row>
    <row r="61" spans="1:10" x14ac:dyDescent="0.35">
      <c r="A61" t="s">
        <v>41</v>
      </c>
      <c r="B61" s="3">
        <v>171</v>
      </c>
      <c r="C61" s="3">
        <v>360</v>
      </c>
      <c r="D61" s="3">
        <f t="shared" si="9"/>
        <v>189</v>
      </c>
      <c r="E61" s="6">
        <f t="shared" si="10"/>
        <v>0.52500000000000002</v>
      </c>
      <c r="F61" s="6" t="str">
        <f t="shared" si="7"/>
        <v>High Discount</v>
      </c>
      <c r="G61">
        <v>-2</v>
      </c>
      <c r="H61">
        <f t="shared" si="11"/>
        <v>2</v>
      </c>
      <c r="I61" s="5">
        <v>5</v>
      </c>
      <c r="J61" t="str">
        <f t="shared" si="4"/>
        <v>Excellent</v>
      </c>
    </row>
    <row r="62" spans="1:10" x14ac:dyDescent="0.35">
      <c r="A62" t="s">
        <v>83</v>
      </c>
      <c r="B62" s="3">
        <v>979</v>
      </c>
      <c r="C62" s="3">
        <v>1920</v>
      </c>
      <c r="D62" s="3">
        <f t="shared" si="9"/>
        <v>941</v>
      </c>
      <c r="E62" s="6">
        <f t="shared" si="10"/>
        <v>0.49010416666666667</v>
      </c>
      <c r="F62" s="6" t="str">
        <f t="shared" si="7"/>
        <v>High Discount</v>
      </c>
      <c r="G62">
        <v>-1</v>
      </c>
      <c r="H62">
        <f t="shared" si="11"/>
        <v>1</v>
      </c>
      <c r="I62" s="5">
        <v>5</v>
      </c>
      <c r="J62" t="str">
        <f t="shared" si="4"/>
        <v>Excellent</v>
      </c>
    </row>
    <row r="63" spans="1:10" x14ac:dyDescent="0.35">
      <c r="A63" t="s">
        <v>103</v>
      </c>
      <c r="B63" s="3">
        <v>3640</v>
      </c>
      <c r="C63" s="3">
        <v>4588</v>
      </c>
      <c r="D63" s="3">
        <f t="shared" si="9"/>
        <v>948</v>
      </c>
      <c r="E63" s="6">
        <f t="shared" si="10"/>
        <v>0.20662598081952921</v>
      </c>
      <c r="F63" s="6" t="str">
        <f t="shared" si="7"/>
        <v>Medium Discount</v>
      </c>
      <c r="G63">
        <v>-1</v>
      </c>
      <c r="H63">
        <f t="shared" si="11"/>
        <v>1</v>
      </c>
      <c r="I63" s="5">
        <v>5</v>
      </c>
      <c r="J63" t="str">
        <f t="shared" si="4"/>
        <v>Excellent</v>
      </c>
    </row>
    <row r="64" spans="1:10" x14ac:dyDescent="0.35">
      <c r="A64" t="s">
        <v>9</v>
      </c>
      <c r="B64" s="3">
        <v>1740</v>
      </c>
      <c r="C64" s="3">
        <v>2356</v>
      </c>
      <c r="D64" s="3">
        <f t="shared" si="9"/>
        <v>616</v>
      </c>
      <c r="E64" s="6">
        <f t="shared" si="10"/>
        <v>0.26146010186757218</v>
      </c>
      <c r="F64" s="6" t="str">
        <f t="shared" si="7"/>
        <v>Medium Discount</v>
      </c>
      <c r="G64">
        <v>-5</v>
      </c>
      <c r="H64">
        <f t="shared" si="11"/>
        <v>5</v>
      </c>
      <c r="I64" s="5">
        <v>4.8</v>
      </c>
      <c r="J64" t="str">
        <f t="shared" si="4"/>
        <v>Excellent</v>
      </c>
    </row>
    <row r="65" spans="1:10" x14ac:dyDescent="0.35">
      <c r="A65" t="s">
        <v>13</v>
      </c>
      <c r="B65" s="3">
        <v>1274</v>
      </c>
      <c r="C65" s="3">
        <v>2800</v>
      </c>
      <c r="D65" s="3">
        <f t="shared" si="9"/>
        <v>1526</v>
      </c>
      <c r="E65" s="6">
        <f t="shared" si="10"/>
        <v>0.54500000000000004</v>
      </c>
      <c r="F65" s="6" t="str">
        <f t="shared" ref="F65:F96" si="12">IF(E65&lt;20%,"Low Discount",IF(E65&lt;=40%,"Medium Discount",IF(E65&gt;40%,"High Discount")))</f>
        <v>High Discount</v>
      </c>
      <c r="G65">
        <v>-5</v>
      </c>
      <c r="H65">
        <f t="shared" si="11"/>
        <v>5</v>
      </c>
      <c r="I65" s="5">
        <v>4.8</v>
      </c>
      <c r="J65" t="str">
        <f t="shared" si="4"/>
        <v>Excellent</v>
      </c>
    </row>
    <row r="66" spans="1:10" x14ac:dyDescent="0.35">
      <c r="A66" t="s">
        <v>17</v>
      </c>
      <c r="B66" s="3">
        <v>552</v>
      </c>
      <c r="C66" s="3">
        <v>1035</v>
      </c>
      <c r="D66" s="3">
        <f t="shared" si="9"/>
        <v>483</v>
      </c>
      <c r="E66" s="6">
        <f t="shared" si="10"/>
        <v>0.46666666666666667</v>
      </c>
      <c r="F66" s="6" t="str">
        <f t="shared" si="12"/>
        <v>High Discount</v>
      </c>
      <c r="G66">
        <v>-12</v>
      </c>
      <c r="H66">
        <f t="shared" si="11"/>
        <v>12</v>
      </c>
      <c r="I66" s="5">
        <v>4.8</v>
      </c>
      <c r="J66" t="str">
        <f t="shared" ref="J66:J113" si="13">IF(I66&lt;3,"Poor",IF(I66&lt;=4.4,"Average","Excellent"))</f>
        <v>Excellent</v>
      </c>
    </row>
    <row r="67" spans="1:10" x14ac:dyDescent="0.35">
      <c r="A67" t="s">
        <v>8</v>
      </c>
      <c r="B67" s="3">
        <v>1580</v>
      </c>
      <c r="C67" s="3">
        <v>2499</v>
      </c>
      <c r="D67" s="3">
        <f t="shared" si="9"/>
        <v>919</v>
      </c>
      <c r="E67" s="6">
        <f t="shared" si="10"/>
        <v>0.36774709883953582</v>
      </c>
      <c r="F67" s="6" t="str">
        <f t="shared" si="12"/>
        <v>Medium Discount</v>
      </c>
      <c r="G67">
        <v>-7</v>
      </c>
      <c r="H67">
        <f t="shared" si="11"/>
        <v>7</v>
      </c>
      <c r="I67" s="5">
        <v>4.7</v>
      </c>
      <c r="J67" t="str">
        <f t="shared" si="13"/>
        <v>Excellent</v>
      </c>
    </row>
    <row r="68" spans="1:10" x14ac:dyDescent="0.35">
      <c r="A68" t="s">
        <v>16</v>
      </c>
      <c r="B68" s="3">
        <v>990</v>
      </c>
      <c r="C68" s="3">
        <v>1500</v>
      </c>
      <c r="D68" s="3">
        <f t="shared" si="9"/>
        <v>510</v>
      </c>
      <c r="E68" s="6">
        <f t="shared" si="10"/>
        <v>0.34</v>
      </c>
      <c r="F68" s="6" t="str">
        <f t="shared" si="12"/>
        <v>Medium Discount</v>
      </c>
      <c r="G68">
        <v>-39</v>
      </c>
      <c r="H68">
        <f t="shared" si="11"/>
        <v>39</v>
      </c>
      <c r="I68" s="5">
        <v>4.7</v>
      </c>
      <c r="J68" t="str">
        <f t="shared" si="13"/>
        <v>Excellent</v>
      </c>
    </row>
    <row r="69" spans="1:10" x14ac:dyDescent="0.35">
      <c r="A69" t="s">
        <v>36</v>
      </c>
      <c r="B69" s="3">
        <v>980</v>
      </c>
      <c r="C69" s="3">
        <v>1490</v>
      </c>
      <c r="D69" s="3">
        <f t="shared" si="9"/>
        <v>510</v>
      </c>
      <c r="E69" s="6">
        <f t="shared" si="10"/>
        <v>0.34228187919463088</v>
      </c>
      <c r="F69" s="6" t="str">
        <f t="shared" si="12"/>
        <v>Medium Discount</v>
      </c>
      <c r="G69">
        <v>-12</v>
      </c>
      <c r="H69">
        <f t="shared" si="11"/>
        <v>12</v>
      </c>
      <c r="I69" s="5">
        <v>4.7</v>
      </c>
      <c r="J69" t="str">
        <f t="shared" si="13"/>
        <v>Excellent</v>
      </c>
    </row>
    <row r="70" spans="1:10" x14ac:dyDescent="0.35">
      <c r="A70" t="s">
        <v>38</v>
      </c>
      <c r="B70" s="3">
        <v>1940</v>
      </c>
      <c r="C70" s="3">
        <v>2650</v>
      </c>
      <c r="D70" s="3">
        <f t="shared" si="9"/>
        <v>710</v>
      </c>
      <c r="E70" s="6">
        <f t="shared" si="10"/>
        <v>0.26792452830188679</v>
      </c>
      <c r="F70" s="6" t="str">
        <f t="shared" si="12"/>
        <v>Medium Discount</v>
      </c>
      <c r="G70">
        <v>-20</v>
      </c>
      <c r="H70">
        <f t="shared" si="11"/>
        <v>20</v>
      </c>
      <c r="I70" s="5">
        <v>4.7</v>
      </c>
      <c r="J70" t="str">
        <f t="shared" si="13"/>
        <v>Excellent</v>
      </c>
    </row>
    <row r="71" spans="1:10" x14ac:dyDescent="0.35">
      <c r="A71" t="s">
        <v>7</v>
      </c>
      <c r="B71" s="3">
        <v>2199</v>
      </c>
      <c r="C71" s="3">
        <v>2923</v>
      </c>
      <c r="D71" s="3">
        <f t="shared" si="9"/>
        <v>724</v>
      </c>
      <c r="E71" s="6">
        <f t="shared" si="10"/>
        <v>0.24769072870338693</v>
      </c>
      <c r="F71" s="6" t="str">
        <f t="shared" si="12"/>
        <v>Medium Discount</v>
      </c>
      <c r="G71">
        <v>-24</v>
      </c>
      <c r="H71">
        <f t="shared" si="11"/>
        <v>24</v>
      </c>
      <c r="I71" s="5">
        <v>4.5999999999999996</v>
      </c>
      <c r="J71" t="str">
        <f t="shared" si="13"/>
        <v>Excellent</v>
      </c>
    </row>
    <row r="72" spans="1:10" x14ac:dyDescent="0.35">
      <c r="A72" t="s">
        <v>11</v>
      </c>
      <c r="B72" s="3">
        <v>2319</v>
      </c>
      <c r="C72" s="3">
        <v>3032</v>
      </c>
      <c r="D72" s="3">
        <f t="shared" si="9"/>
        <v>713</v>
      </c>
      <c r="E72" s="6">
        <f t="shared" si="10"/>
        <v>0.23515831134564644</v>
      </c>
      <c r="F72" s="6" t="str">
        <f t="shared" si="12"/>
        <v>Medium Discount</v>
      </c>
      <c r="G72">
        <v>-55</v>
      </c>
      <c r="H72">
        <f t="shared" si="11"/>
        <v>55</v>
      </c>
      <c r="I72" s="5">
        <v>4.5999999999999996</v>
      </c>
      <c r="J72" t="str">
        <f t="shared" si="13"/>
        <v>Excellent</v>
      </c>
    </row>
    <row r="73" spans="1:10" x14ac:dyDescent="0.35">
      <c r="A73" t="s">
        <v>23</v>
      </c>
      <c r="B73" s="3">
        <v>2999</v>
      </c>
      <c r="C73" s="3">
        <v>3699</v>
      </c>
      <c r="D73" s="3">
        <f t="shared" si="9"/>
        <v>700</v>
      </c>
      <c r="E73" s="6">
        <f t="shared" si="10"/>
        <v>0.18924033522573669</v>
      </c>
      <c r="F73" s="6" t="str">
        <f t="shared" si="12"/>
        <v>Low Discount</v>
      </c>
      <c r="G73">
        <v>-5</v>
      </c>
      <c r="H73">
        <f t="shared" si="11"/>
        <v>5</v>
      </c>
      <c r="I73" s="5">
        <v>4.5999999999999996</v>
      </c>
      <c r="J73" t="str">
        <f t="shared" si="13"/>
        <v>Excellent</v>
      </c>
    </row>
    <row r="74" spans="1:10" x14ac:dyDescent="0.35">
      <c r="A74" t="s">
        <v>24</v>
      </c>
      <c r="B74" s="3">
        <v>998</v>
      </c>
      <c r="C74" s="3">
        <v>1966</v>
      </c>
      <c r="D74" s="3">
        <f t="shared" si="9"/>
        <v>968</v>
      </c>
      <c r="E74" s="6">
        <f t="shared" si="10"/>
        <v>0.49237029501525942</v>
      </c>
      <c r="F74" s="6" t="str">
        <f t="shared" si="12"/>
        <v>High Discount</v>
      </c>
      <c r="G74">
        <v>-44</v>
      </c>
      <c r="H74">
        <f t="shared" si="11"/>
        <v>44</v>
      </c>
      <c r="I74" s="5">
        <v>4.5999999999999996</v>
      </c>
      <c r="J74" t="str">
        <f t="shared" si="13"/>
        <v>Excellent</v>
      </c>
    </row>
    <row r="75" spans="1:10" x14ac:dyDescent="0.35">
      <c r="A75" t="s">
        <v>30</v>
      </c>
      <c r="B75" s="3">
        <v>420</v>
      </c>
      <c r="C75" s="3">
        <v>647</v>
      </c>
      <c r="D75" s="3">
        <f t="shared" si="9"/>
        <v>227</v>
      </c>
      <c r="E75" s="6">
        <f t="shared" si="10"/>
        <v>0.3508500772797527</v>
      </c>
      <c r="F75" s="6" t="str">
        <f t="shared" si="12"/>
        <v>Medium Discount</v>
      </c>
      <c r="G75">
        <v>-49</v>
      </c>
      <c r="H75">
        <f t="shared" si="11"/>
        <v>49</v>
      </c>
      <c r="I75" s="5">
        <v>4.5999999999999996</v>
      </c>
      <c r="J75" t="str">
        <f t="shared" si="13"/>
        <v>Excellent</v>
      </c>
    </row>
    <row r="76" spans="1:10" x14ac:dyDescent="0.35">
      <c r="A76" t="s">
        <v>5</v>
      </c>
      <c r="B76" s="3">
        <v>950</v>
      </c>
      <c r="C76" s="3">
        <v>1525</v>
      </c>
      <c r="D76" s="3">
        <f t="shared" si="9"/>
        <v>575</v>
      </c>
      <c r="E76" s="6">
        <f t="shared" si="10"/>
        <v>0.37704918032786883</v>
      </c>
      <c r="F76" s="6" t="str">
        <f t="shared" si="12"/>
        <v>Medium Discount</v>
      </c>
      <c r="G76">
        <v>-2</v>
      </c>
      <c r="H76">
        <f t="shared" si="11"/>
        <v>2</v>
      </c>
      <c r="I76" s="5">
        <v>4.5</v>
      </c>
      <c r="J76" t="str">
        <f t="shared" si="13"/>
        <v>Excellent</v>
      </c>
    </row>
    <row r="77" spans="1:10" x14ac:dyDescent="0.35">
      <c r="A77" t="s">
        <v>18</v>
      </c>
      <c r="B77" s="3">
        <v>501</v>
      </c>
      <c r="C77" s="3">
        <v>860</v>
      </c>
      <c r="D77" s="3">
        <f t="shared" si="9"/>
        <v>359</v>
      </c>
      <c r="E77" s="6">
        <f t="shared" si="10"/>
        <v>0.41744186046511628</v>
      </c>
      <c r="F77" s="6" t="str">
        <f t="shared" si="12"/>
        <v>High Discount</v>
      </c>
      <c r="G77">
        <v>-6</v>
      </c>
      <c r="H77">
        <f t="shared" si="11"/>
        <v>6</v>
      </c>
      <c r="I77" s="5">
        <v>4.5</v>
      </c>
      <c r="J77" t="str">
        <f t="shared" si="13"/>
        <v>Excellent</v>
      </c>
    </row>
    <row r="78" spans="1:10" x14ac:dyDescent="0.35">
      <c r="A78" t="s">
        <v>39</v>
      </c>
      <c r="B78" s="3">
        <v>1980</v>
      </c>
      <c r="C78" s="3">
        <v>2699</v>
      </c>
      <c r="D78" s="3">
        <f t="shared" si="9"/>
        <v>719</v>
      </c>
      <c r="E78" s="6">
        <f t="shared" si="10"/>
        <v>0.26639496109670247</v>
      </c>
      <c r="F78" s="6" t="str">
        <f t="shared" si="12"/>
        <v>Medium Discount</v>
      </c>
      <c r="G78">
        <v>-32</v>
      </c>
      <c r="H78">
        <f t="shared" si="11"/>
        <v>32</v>
      </c>
      <c r="I78" s="5">
        <v>4.5</v>
      </c>
      <c r="J78" t="str">
        <f t="shared" si="13"/>
        <v>Excellent</v>
      </c>
    </row>
    <row r="79" spans="1:10" x14ac:dyDescent="0.35">
      <c r="A79" t="s">
        <v>43</v>
      </c>
      <c r="B79" s="3">
        <v>1800</v>
      </c>
      <c r="C79" s="3">
        <v>2700</v>
      </c>
      <c r="D79" s="3">
        <f t="shared" si="9"/>
        <v>900</v>
      </c>
      <c r="E79" s="6">
        <f t="shared" si="10"/>
        <v>0.33333333333333331</v>
      </c>
      <c r="F79" s="6" t="str">
        <f t="shared" si="12"/>
        <v>Medium Discount</v>
      </c>
      <c r="G79">
        <v>-2</v>
      </c>
      <c r="H79">
        <f t="shared" si="11"/>
        <v>2</v>
      </c>
      <c r="I79" s="5">
        <v>4.5</v>
      </c>
      <c r="J79" t="str">
        <f t="shared" si="13"/>
        <v>Excellent</v>
      </c>
    </row>
    <row r="80" spans="1:10" x14ac:dyDescent="0.35">
      <c r="A80" t="s">
        <v>28</v>
      </c>
      <c r="B80" s="3">
        <v>1650</v>
      </c>
      <c r="C80" s="3">
        <v>2150</v>
      </c>
      <c r="D80" s="3">
        <f t="shared" si="9"/>
        <v>500</v>
      </c>
      <c r="E80" s="6">
        <f t="shared" si="10"/>
        <v>0.23255813953488372</v>
      </c>
      <c r="F80" s="6" t="str">
        <f t="shared" si="12"/>
        <v>Medium Discount</v>
      </c>
      <c r="G80">
        <v>-14</v>
      </c>
      <c r="H80">
        <f t="shared" si="11"/>
        <v>14</v>
      </c>
      <c r="I80" s="5">
        <v>4.4000000000000004</v>
      </c>
      <c r="J80" t="str">
        <f t="shared" si="13"/>
        <v>Average</v>
      </c>
    </row>
    <row r="81" spans="1:10" x14ac:dyDescent="0.35">
      <c r="A81" t="s">
        <v>29</v>
      </c>
      <c r="B81" s="3">
        <v>2048</v>
      </c>
      <c r="C81" s="3">
        <v>4500</v>
      </c>
      <c r="D81" s="3">
        <f t="shared" si="9"/>
        <v>2452</v>
      </c>
      <c r="E81" s="6">
        <f t="shared" si="10"/>
        <v>0.54488888888888887</v>
      </c>
      <c r="F81" s="6" t="str">
        <f t="shared" si="12"/>
        <v>High Discount</v>
      </c>
      <c r="G81">
        <v>-7</v>
      </c>
      <c r="H81">
        <f t="shared" si="11"/>
        <v>7</v>
      </c>
      <c r="I81" s="5">
        <v>4.3</v>
      </c>
      <c r="J81" t="str">
        <f t="shared" si="13"/>
        <v>Average</v>
      </c>
    </row>
    <row r="82" spans="1:10" x14ac:dyDescent="0.35">
      <c r="A82" t="s">
        <v>35</v>
      </c>
      <c r="B82" s="3">
        <v>185</v>
      </c>
      <c r="C82" s="3">
        <v>382</v>
      </c>
      <c r="D82" s="3">
        <f t="shared" si="9"/>
        <v>197</v>
      </c>
      <c r="E82" s="6">
        <f t="shared" si="10"/>
        <v>0.51570680628272247</v>
      </c>
      <c r="F82" s="6" t="str">
        <f t="shared" si="12"/>
        <v>High Discount</v>
      </c>
      <c r="G82">
        <v>-9</v>
      </c>
      <c r="H82">
        <f t="shared" si="11"/>
        <v>9</v>
      </c>
      <c r="I82" s="5">
        <v>4.3</v>
      </c>
      <c r="J82" t="str">
        <f t="shared" si="13"/>
        <v>Average</v>
      </c>
    </row>
    <row r="83" spans="1:10" x14ac:dyDescent="0.35">
      <c r="A83" t="s">
        <v>37</v>
      </c>
      <c r="B83" s="3">
        <v>1820</v>
      </c>
      <c r="C83" s="3">
        <v>3490</v>
      </c>
      <c r="D83" s="3">
        <f t="shared" si="9"/>
        <v>1670</v>
      </c>
      <c r="E83" s="6">
        <f t="shared" si="10"/>
        <v>0.47851002865329512</v>
      </c>
      <c r="F83" s="6" t="str">
        <f t="shared" si="12"/>
        <v>High Discount</v>
      </c>
      <c r="G83">
        <v>-9</v>
      </c>
      <c r="H83">
        <f t="shared" si="11"/>
        <v>9</v>
      </c>
      <c r="I83" s="5">
        <v>4.3</v>
      </c>
      <c r="J83" t="str">
        <f t="shared" si="13"/>
        <v>Average</v>
      </c>
    </row>
    <row r="84" spans="1:10" x14ac:dyDescent="0.35">
      <c r="A84" t="s">
        <v>42</v>
      </c>
      <c r="B84" s="3">
        <v>389</v>
      </c>
      <c r="C84" s="3">
        <v>656</v>
      </c>
      <c r="D84" s="3">
        <f t="shared" si="9"/>
        <v>267</v>
      </c>
      <c r="E84" s="6">
        <f t="shared" si="10"/>
        <v>0.40701219512195119</v>
      </c>
      <c r="F84" s="6" t="str">
        <f t="shared" si="12"/>
        <v>High Discount</v>
      </c>
      <c r="G84">
        <v>-36</v>
      </c>
      <c r="H84">
        <f t="shared" si="11"/>
        <v>36</v>
      </c>
      <c r="I84" s="5">
        <v>4.3</v>
      </c>
      <c r="J84" t="str">
        <f t="shared" si="13"/>
        <v>Average</v>
      </c>
    </row>
    <row r="85" spans="1:10" x14ac:dyDescent="0.35">
      <c r="A85" t="s">
        <v>19</v>
      </c>
      <c r="B85" s="3">
        <v>1680</v>
      </c>
      <c r="C85" s="3">
        <v>2499</v>
      </c>
      <c r="D85" s="3">
        <f t="shared" si="9"/>
        <v>819</v>
      </c>
      <c r="E85" s="6">
        <f t="shared" si="10"/>
        <v>0.32773109243697479</v>
      </c>
      <c r="F85" s="6" t="str">
        <f t="shared" si="12"/>
        <v>Medium Discount</v>
      </c>
      <c r="G85">
        <v>-9</v>
      </c>
      <c r="H85">
        <f t="shared" si="11"/>
        <v>9</v>
      </c>
      <c r="I85" s="5">
        <v>4.2</v>
      </c>
      <c r="J85" t="str">
        <f t="shared" si="13"/>
        <v>Average</v>
      </c>
    </row>
    <row r="86" spans="1:10" x14ac:dyDescent="0.35">
      <c r="A86" t="s">
        <v>6</v>
      </c>
      <c r="B86" s="3">
        <v>527</v>
      </c>
      <c r="C86" s="3">
        <v>999</v>
      </c>
      <c r="D86" s="3">
        <f t="shared" si="9"/>
        <v>472</v>
      </c>
      <c r="E86" s="6">
        <f t="shared" si="10"/>
        <v>0.47247247247247248</v>
      </c>
      <c r="F86" s="6" t="str">
        <f t="shared" si="12"/>
        <v>High Discount</v>
      </c>
      <c r="G86">
        <v>-14</v>
      </c>
      <c r="H86">
        <f t="shared" si="11"/>
        <v>14</v>
      </c>
      <c r="I86" s="5">
        <v>4.0999999999999996</v>
      </c>
      <c r="J86" t="str">
        <f t="shared" si="13"/>
        <v>Average</v>
      </c>
    </row>
    <row r="87" spans="1:10" x14ac:dyDescent="0.35">
      <c r="A87" t="s">
        <v>15</v>
      </c>
      <c r="B87" s="3">
        <v>799</v>
      </c>
      <c r="C87" s="3">
        <v>999</v>
      </c>
      <c r="D87" s="3">
        <f t="shared" si="9"/>
        <v>200</v>
      </c>
      <c r="E87" s="6">
        <f t="shared" si="10"/>
        <v>0.20020020020020021</v>
      </c>
      <c r="F87" s="6" t="str">
        <f t="shared" si="12"/>
        <v>Medium Discount</v>
      </c>
      <c r="G87">
        <v>-12</v>
      </c>
      <c r="H87">
        <f t="shared" si="11"/>
        <v>12</v>
      </c>
      <c r="I87" s="5">
        <v>4.0999999999999996</v>
      </c>
      <c r="J87" t="str">
        <f t="shared" si="13"/>
        <v>Average</v>
      </c>
    </row>
    <row r="88" spans="1:10" x14ac:dyDescent="0.35">
      <c r="A88" t="s">
        <v>33</v>
      </c>
      <c r="B88" s="3">
        <v>1758</v>
      </c>
      <c r="C88" s="3">
        <v>2499</v>
      </c>
      <c r="D88" s="3">
        <f t="shared" si="9"/>
        <v>741</v>
      </c>
      <c r="E88" s="6">
        <f t="shared" si="10"/>
        <v>0.2965186074429772</v>
      </c>
      <c r="F88" s="6" t="str">
        <f t="shared" si="12"/>
        <v>Medium Discount</v>
      </c>
      <c r="G88">
        <v>-20</v>
      </c>
      <c r="H88">
        <f t="shared" si="11"/>
        <v>20</v>
      </c>
      <c r="I88" s="5">
        <v>4.0999999999999996</v>
      </c>
      <c r="J88" t="str">
        <f t="shared" si="13"/>
        <v>Average</v>
      </c>
    </row>
    <row r="89" spans="1:10" x14ac:dyDescent="0.35">
      <c r="A89" t="s">
        <v>10</v>
      </c>
      <c r="B89" s="3">
        <v>2999</v>
      </c>
      <c r="C89" s="3">
        <v>3290</v>
      </c>
      <c r="D89" s="3">
        <f t="shared" ref="D89:D113" si="14">C89-B89</f>
        <v>291</v>
      </c>
      <c r="E89" s="6">
        <f t="shared" ref="E89:E113" si="15">D89/C89</f>
        <v>8.8449848024316116E-2</v>
      </c>
      <c r="F89" s="6" t="str">
        <f t="shared" si="12"/>
        <v>Low Discount</v>
      </c>
      <c r="G89">
        <v>-15</v>
      </c>
      <c r="H89">
        <f t="shared" ref="H89:H113" si="16">IF(G89&lt;0,-G89,G89)</f>
        <v>15</v>
      </c>
      <c r="I89" s="5">
        <v>4</v>
      </c>
      <c r="J89" t="str">
        <f t="shared" si="13"/>
        <v>Average</v>
      </c>
    </row>
    <row r="90" spans="1:10" x14ac:dyDescent="0.35">
      <c r="A90" t="s">
        <v>12</v>
      </c>
      <c r="B90" s="3">
        <v>988</v>
      </c>
      <c r="C90" s="3">
        <v>1580</v>
      </c>
      <c r="D90" s="3">
        <f t="shared" si="14"/>
        <v>592</v>
      </c>
      <c r="E90" s="6">
        <f t="shared" si="15"/>
        <v>0.37468354430379747</v>
      </c>
      <c r="F90" s="6" t="str">
        <f t="shared" si="12"/>
        <v>Medium Discount</v>
      </c>
      <c r="G90">
        <v>-2</v>
      </c>
      <c r="H90">
        <f t="shared" si="16"/>
        <v>2</v>
      </c>
      <c r="I90" s="5">
        <v>4</v>
      </c>
      <c r="J90" t="str">
        <f t="shared" si="13"/>
        <v>Average</v>
      </c>
    </row>
    <row r="91" spans="1:10" x14ac:dyDescent="0.35">
      <c r="A91" t="s">
        <v>27</v>
      </c>
      <c r="B91" s="3">
        <v>880</v>
      </c>
      <c r="C91" s="3">
        <v>1350</v>
      </c>
      <c r="D91" s="3">
        <f t="shared" si="14"/>
        <v>470</v>
      </c>
      <c r="E91" s="6">
        <f t="shared" si="15"/>
        <v>0.34814814814814815</v>
      </c>
      <c r="F91" s="6" t="str">
        <f t="shared" si="12"/>
        <v>Medium Discount</v>
      </c>
      <c r="G91">
        <v>-6</v>
      </c>
      <c r="H91">
        <f t="shared" si="16"/>
        <v>6</v>
      </c>
      <c r="I91" s="5">
        <v>4</v>
      </c>
      <c r="J91" t="str">
        <f t="shared" si="13"/>
        <v>Average</v>
      </c>
    </row>
    <row r="92" spans="1:10" x14ac:dyDescent="0.35">
      <c r="A92" t="s">
        <v>86</v>
      </c>
      <c r="B92" s="3">
        <v>330</v>
      </c>
      <c r="C92" s="3">
        <v>647</v>
      </c>
      <c r="D92" s="3">
        <f t="shared" si="14"/>
        <v>317</v>
      </c>
      <c r="E92" s="6">
        <f t="shared" si="15"/>
        <v>0.48995363214837712</v>
      </c>
      <c r="F92" s="6" t="str">
        <f t="shared" si="12"/>
        <v>High Discount</v>
      </c>
      <c r="G92">
        <v>-1</v>
      </c>
      <c r="H92">
        <f t="shared" si="16"/>
        <v>1</v>
      </c>
      <c r="I92" s="5">
        <v>4</v>
      </c>
      <c r="J92" t="str">
        <f t="shared" si="13"/>
        <v>Average</v>
      </c>
    </row>
    <row r="93" spans="1:10" x14ac:dyDescent="0.35">
      <c r="A93" t="s">
        <v>14</v>
      </c>
      <c r="B93" s="3">
        <v>1600</v>
      </c>
      <c r="C93" s="3">
        <v>2929</v>
      </c>
      <c r="D93" s="3">
        <f t="shared" si="14"/>
        <v>1329</v>
      </c>
      <c r="E93" s="6">
        <f t="shared" si="15"/>
        <v>0.45373847729600547</v>
      </c>
      <c r="F93" s="6" t="str">
        <f t="shared" si="12"/>
        <v>High Discount</v>
      </c>
      <c r="G93">
        <v>-5</v>
      </c>
      <c r="H93">
        <f t="shared" si="16"/>
        <v>5</v>
      </c>
      <c r="I93" s="5">
        <v>3.8</v>
      </c>
      <c r="J93" t="str">
        <f t="shared" si="13"/>
        <v>Average</v>
      </c>
    </row>
    <row r="94" spans="1:10" x14ac:dyDescent="0.35">
      <c r="A94" t="s">
        <v>31</v>
      </c>
      <c r="B94" s="3">
        <v>2880</v>
      </c>
      <c r="C94" s="3">
        <v>3520</v>
      </c>
      <c r="D94" s="3">
        <f t="shared" si="14"/>
        <v>640</v>
      </c>
      <c r="E94" s="6">
        <f t="shared" si="15"/>
        <v>0.18181818181818182</v>
      </c>
      <c r="F94" s="6" t="str">
        <f t="shared" si="12"/>
        <v>Low Discount</v>
      </c>
      <c r="G94">
        <v>-12</v>
      </c>
      <c r="H94">
        <f t="shared" si="16"/>
        <v>12</v>
      </c>
      <c r="I94" s="5">
        <v>3.8</v>
      </c>
      <c r="J94" t="str">
        <f t="shared" si="13"/>
        <v>Average</v>
      </c>
    </row>
    <row r="95" spans="1:10" x14ac:dyDescent="0.35">
      <c r="A95" t="s">
        <v>32</v>
      </c>
      <c r="B95" s="3">
        <v>1350</v>
      </c>
      <c r="C95" s="3">
        <v>1990</v>
      </c>
      <c r="D95" s="3">
        <f t="shared" si="14"/>
        <v>640</v>
      </c>
      <c r="E95" s="6">
        <f t="shared" si="15"/>
        <v>0.32160804020100503</v>
      </c>
      <c r="F95" s="6" t="str">
        <f t="shared" si="12"/>
        <v>Medium Discount</v>
      </c>
      <c r="G95">
        <v>-13</v>
      </c>
      <c r="H95">
        <f t="shared" si="16"/>
        <v>13</v>
      </c>
      <c r="I95" s="5">
        <v>3.8</v>
      </c>
      <c r="J95" t="str">
        <f t="shared" si="13"/>
        <v>Average</v>
      </c>
    </row>
    <row r="96" spans="1:10" x14ac:dyDescent="0.35">
      <c r="A96" t="s">
        <v>25</v>
      </c>
      <c r="B96" s="3">
        <v>38</v>
      </c>
      <c r="C96" s="3">
        <v>80</v>
      </c>
      <c r="D96" s="3">
        <f t="shared" si="14"/>
        <v>42</v>
      </c>
      <c r="E96" s="6">
        <f t="shared" si="15"/>
        <v>0.52500000000000002</v>
      </c>
      <c r="F96" s="6" t="str">
        <f t="shared" si="12"/>
        <v>High Discount</v>
      </c>
      <c r="G96">
        <v>-13</v>
      </c>
      <c r="H96">
        <f t="shared" si="16"/>
        <v>13</v>
      </c>
      <c r="I96" s="5">
        <v>3.3</v>
      </c>
      <c r="J96" t="str">
        <f t="shared" si="13"/>
        <v>Average</v>
      </c>
    </row>
    <row r="97" spans="1:10" x14ac:dyDescent="0.35">
      <c r="A97" t="s">
        <v>64</v>
      </c>
      <c r="B97" s="3">
        <v>458</v>
      </c>
      <c r="C97" s="3">
        <v>986</v>
      </c>
      <c r="D97" s="3">
        <f t="shared" si="14"/>
        <v>528</v>
      </c>
      <c r="E97" s="6">
        <f t="shared" si="15"/>
        <v>0.53549695740365111</v>
      </c>
      <c r="F97" s="6" t="str">
        <f t="shared" ref="F97:F113" si="17">IF(E97&lt;20%,"Low Discount",IF(E97&lt;=40%,"Medium Discount",IF(E97&gt;40%,"High Discount")))</f>
        <v>High Discount</v>
      </c>
      <c r="G97">
        <v>-10</v>
      </c>
      <c r="H97">
        <f t="shared" si="16"/>
        <v>10</v>
      </c>
      <c r="I97" s="5">
        <v>3</v>
      </c>
      <c r="J97" t="str">
        <f t="shared" si="13"/>
        <v>Average</v>
      </c>
    </row>
    <row r="98" spans="1:10" x14ac:dyDescent="0.35">
      <c r="A98" t="s">
        <v>71</v>
      </c>
      <c r="B98" s="3">
        <v>3750</v>
      </c>
      <c r="C98" s="3">
        <v>6143</v>
      </c>
      <c r="D98" s="3">
        <f t="shared" si="14"/>
        <v>2393</v>
      </c>
      <c r="E98" s="6">
        <f t="shared" si="15"/>
        <v>0.38954908025394758</v>
      </c>
      <c r="F98" s="6" t="str">
        <f t="shared" si="17"/>
        <v>Medium Discount</v>
      </c>
      <c r="G98">
        <v>-5</v>
      </c>
      <c r="H98">
        <f t="shared" si="16"/>
        <v>5</v>
      </c>
      <c r="I98" s="5">
        <v>3</v>
      </c>
      <c r="J98" t="str">
        <f t="shared" si="13"/>
        <v>Average</v>
      </c>
    </row>
    <row r="99" spans="1:10" x14ac:dyDescent="0.35">
      <c r="A99" t="s">
        <v>73</v>
      </c>
      <c r="B99" s="3">
        <v>2300</v>
      </c>
      <c r="C99" s="3">
        <v>3240</v>
      </c>
      <c r="D99" s="3">
        <f t="shared" si="14"/>
        <v>940</v>
      </c>
      <c r="E99" s="6">
        <f t="shared" si="15"/>
        <v>0.29012345679012347</v>
      </c>
      <c r="F99" s="6" t="str">
        <f t="shared" si="17"/>
        <v>Medium Discount</v>
      </c>
      <c r="G99">
        <v>-5</v>
      </c>
      <c r="H99">
        <f t="shared" si="16"/>
        <v>5</v>
      </c>
      <c r="I99" s="5">
        <v>3</v>
      </c>
      <c r="J99" t="str">
        <f t="shared" si="13"/>
        <v>Average</v>
      </c>
    </row>
    <row r="100" spans="1:10" x14ac:dyDescent="0.35">
      <c r="A100" t="s">
        <v>75</v>
      </c>
      <c r="B100" s="3">
        <v>509</v>
      </c>
      <c r="C100" s="3">
        <v>899</v>
      </c>
      <c r="D100" s="3">
        <f t="shared" si="14"/>
        <v>390</v>
      </c>
      <c r="E100" s="6">
        <f t="shared" si="15"/>
        <v>0.43381535038932145</v>
      </c>
      <c r="F100" s="6" t="str">
        <f t="shared" si="17"/>
        <v>High Discount</v>
      </c>
      <c r="G100">
        <v>-5</v>
      </c>
      <c r="H100">
        <f t="shared" si="16"/>
        <v>5</v>
      </c>
      <c r="I100" s="5">
        <v>3</v>
      </c>
      <c r="J100" t="str">
        <f t="shared" si="13"/>
        <v>Average</v>
      </c>
    </row>
    <row r="101" spans="1:10" x14ac:dyDescent="0.35">
      <c r="A101" t="s">
        <v>82</v>
      </c>
      <c r="B101" s="3">
        <v>1189</v>
      </c>
      <c r="C101" s="3">
        <v>2199</v>
      </c>
      <c r="D101" s="3">
        <f t="shared" si="14"/>
        <v>1010</v>
      </c>
      <c r="E101" s="6">
        <f t="shared" si="15"/>
        <v>0.45929968167348795</v>
      </c>
      <c r="F101" s="6" t="str">
        <f t="shared" si="17"/>
        <v>High Discount</v>
      </c>
      <c r="G101">
        <v>-1</v>
      </c>
      <c r="H101">
        <f t="shared" si="16"/>
        <v>1</v>
      </c>
      <c r="I101" s="5">
        <v>3</v>
      </c>
      <c r="J101" t="str">
        <f t="shared" si="13"/>
        <v>Average</v>
      </c>
    </row>
    <row r="102" spans="1:10" x14ac:dyDescent="0.35">
      <c r="A102" t="s">
        <v>68</v>
      </c>
      <c r="B102" s="3">
        <v>1220</v>
      </c>
      <c r="C102" s="3">
        <v>1555</v>
      </c>
      <c r="D102" s="3">
        <f t="shared" si="14"/>
        <v>335</v>
      </c>
      <c r="E102" s="6">
        <f t="shared" si="15"/>
        <v>0.21543408360128619</v>
      </c>
      <c r="F102" s="6" t="str">
        <f t="shared" si="17"/>
        <v>Medium Discount</v>
      </c>
      <c r="G102">
        <v>-16</v>
      </c>
      <c r="H102">
        <f t="shared" si="16"/>
        <v>16</v>
      </c>
      <c r="I102" s="5">
        <v>2.9</v>
      </c>
      <c r="J102" t="str">
        <f t="shared" si="13"/>
        <v>Poor</v>
      </c>
    </row>
    <row r="103" spans="1:10" x14ac:dyDescent="0.35">
      <c r="A103" t="s">
        <v>66</v>
      </c>
      <c r="B103" s="3">
        <v>445</v>
      </c>
      <c r="C103" s="3">
        <v>873</v>
      </c>
      <c r="D103" s="3">
        <f t="shared" si="14"/>
        <v>428</v>
      </c>
      <c r="E103" s="6">
        <f t="shared" si="15"/>
        <v>0.49026345933562426</v>
      </c>
      <c r="F103" s="6" t="str">
        <f t="shared" si="17"/>
        <v>High Discount</v>
      </c>
      <c r="G103">
        <v>-69</v>
      </c>
      <c r="H103">
        <f t="shared" si="16"/>
        <v>69</v>
      </c>
      <c r="I103" s="5">
        <v>2.8</v>
      </c>
      <c r="J103" t="str">
        <f t="shared" si="13"/>
        <v>Poor</v>
      </c>
    </row>
    <row r="104" spans="1:10" x14ac:dyDescent="0.35">
      <c r="A104" t="s">
        <v>67</v>
      </c>
      <c r="B104" s="3">
        <v>325</v>
      </c>
      <c r="C104" s="3">
        <v>680</v>
      </c>
      <c r="D104" s="3">
        <f t="shared" si="14"/>
        <v>355</v>
      </c>
      <c r="E104" s="6">
        <f t="shared" si="15"/>
        <v>0.5220588235294118</v>
      </c>
      <c r="F104" s="6" t="str">
        <f t="shared" si="17"/>
        <v>High Discount</v>
      </c>
      <c r="G104">
        <v>-15</v>
      </c>
      <c r="H104">
        <f t="shared" si="16"/>
        <v>15</v>
      </c>
      <c r="I104" s="5">
        <v>2.7</v>
      </c>
      <c r="J104" t="str">
        <f t="shared" si="13"/>
        <v>Poor</v>
      </c>
    </row>
    <row r="105" spans="1:10" x14ac:dyDescent="0.35">
      <c r="A105" t="s">
        <v>72</v>
      </c>
      <c r="B105" s="3">
        <v>382</v>
      </c>
      <c r="C105" s="3">
        <v>700</v>
      </c>
      <c r="D105" s="3">
        <f t="shared" si="14"/>
        <v>318</v>
      </c>
      <c r="E105" s="6">
        <f t="shared" si="15"/>
        <v>0.45428571428571429</v>
      </c>
      <c r="F105" s="6" t="str">
        <f t="shared" si="17"/>
        <v>High Discount</v>
      </c>
      <c r="G105">
        <v>-17</v>
      </c>
      <c r="H105">
        <f t="shared" si="16"/>
        <v>17</v>
      </c>
      <c r="I105" s="5">
        <v>2.6</v>
      </c>
      <c r="J105" t="str">
        <f t="shared" si="13"/>
        <v>Poor</v>
      </c>
    </row>
    <row r="106" spans="1:10" x14ac:dyDescent="0.35">
      <c r="A106" t="s">
        <v>63</v>
      </c>
      <c r="B106" s="3">
        <v>2170</v>
      </c>
      <c r="C106" s="3">
        <v>2500</v>
      </c>
      <c r="D106" s="3">
        <f t="shared" si="14"/>
        <v>330</v>
      </c>
      <c r="E106" s="6">
        <f t="shared" si="15"/>
        <v>0.13200000000000001</v>
      </c>
      <c r="F106" s="6" t="str">
        <f t="shared" si="17"/>
        <v>Low Discount</v>
      </c>
      <c r="G106">
        <v>-6</v>
      </c>
      <c r="H106">
        <f t="shared" si="16"/>
        <v>6</v>
      </c>
      <c r="I106" s="5">
        <v>2.5</v>
      </c>
      <c r="J106" t="str">
        <f t="shared" si="13"/>
        <v>Poor</v>
      </c>
    </row>
    <row r="107" spans="1:10" x14ac:dyDescent="0.35">
      <c r="A107" t="s">
        <v>70</v>
      </c>
      <c r="B107" s="3">
        <v>1000</v>
      </c>
      <c r="C107" s="3">
        <v>2000</v>
      </c>
      <c r="D107" s="3">
        <f t="shared" si="14"/>
        <v>1000</v>
      </c>
      <c r="E107" s="6">
        <f t="shared" si="15"/>
        <v>0.5</v>
      </c>
      <c r="F107" s="6" t="str">
        <f t="shared" si="17"/>
        <v>High Discount</v>
      </c>
      <c r="G107">
        <v>-7</v>
      </c>
      <c r="H107">
        <f t="shared" si="16"/>
        <v>7</v>
      </c>
      <c r="I107" s="5">
        <v>2.2999999999999998</v>
      </c>
      <c r="J107" t="str">
        <f t="shared" si="13"/>
        <v>Poor</v>
      </c>
    </row>
    <row r="108" spans="1:10" x14ac:dyDescent="0.35">
      <c r="A108" t="s">
        <v>74</v>
      </c>
      <c r="B108" s="3">
        <v>345</v>
      </c>
      <c r="C108" s="3">
        <v>602</v>
      </c>
      <c r="D108" s="3">
        <f t="shared" si="14"/>
        <v>257</v>
      </c>
      <c r="E108" s="6">
        <f t="shared" si="15"/>
        <v>0.42691029900332228</v>
      </c>
      <c r="F108" s="6" t="str">
        <f t="shared" si="17"/>
        <v>High Discount</v>
      </c>
      <c r="G108">
        <v>-6</v>
      </c>
      <c r="H108">
        <f t="shared" si="16"/>
        <v>6</v>
      </c>
      <c r="I108" s="5">
        <v>2.2999999999999998</v>
      </c>
      <c r="J108" t="str">
        <f t="shared" si="13"/>
        <v>Poor</v>
      </c>
    </row>
    <row r="109" spans="1:10" x14ac:dyDescent="0.35">
      <c r="A109" t="s">
        <v>69</v>
      </c>
      <c r="B109" s="3">
        <v>990</v>
      </c>
      <c r="C109" s="3">
        <v>1814</v>
      </c>
      <c r="D109" s="3">
        <f t="shared" si="14"/>
        <v>824</v>
      </c>
      <c r="E109" s="6">
        <f t="shared" si="15"/>
        <v>0.45424476295479604</v>
      </c>
      <c r="F109" s="6" t="str">
        <f t="shared" si="17"/>
        <v>High Discount</v>
      </c>
      <c r="G109">
        <v>-6</v>
      </c>
      <c r="H109">
        <f t="shared" si="16"/>
        <v>6</v>
      </c>
      <c r="I109" s="5">
        <v>2.2000000000000002</v>
      </c>
      <c r="J109" t="str">
        <f t="shared" si="13"/>
        <v>Poor</v>
      </c>
    </row>
    <row r="110" spans="1:10" x14ac:dyDescent="0.35">
      <c r="A110" t="s">
        <v>76</v>
      </c>
      <c r="B110" s="3">
        <v>968</v>
      </c>
      <c r="C110" s="3">
        <v>1814</v>
      </c>
      <c r="D110" s="3">
        <f t="shared" si="14"/>
        <v>846</v>
      </c>
      <c r="E110" s="6">
        <f t="shared" si="15"/>
        <v>0.46637265711135611</v>
      </c>
      <c r="F110" s="6" t="str">
        <f t="shared" si="17"/>
        <v>High Discount</v>
      </c>
      <c r="G110">
        <v>-6</v>
      </c>
      <c r="H110">
        <f t="shared" si="16"/>
        <v>6</v>
      </c>
      <c r="I110" s="5">
        <v>2.2000000000000002</v>
      </c>
      <c r="J110" t="str">
        <f t="shared" si="13"/>
        <v>Poor</v>
      </c>
    </row>
    <row r="111" spans="1:10" x14ac:dyDescent="0.35">
      <c r="A111" t="s">
        <v>65</v>
      </c>
      <c r="B111" s="3">
        <v>2115</v>
      </c>
      <c r="C111" s="3">
        <v>4700</v>
      </c>
      <c r="D111" s="3">
        <f t="shared" si="14"/>
        <v>2585</v>
      </c>
      <c r="E111" s="6">
        <f t="shared" si="15"/>
        <v>0.55000000000000004</v>
      </c>
      <c r="F111" s="6" t="str">
        <f t="shared" si="17"/>
        <v>High Discount</v>
      </c>
      <c r="G111">
        <v>-13</v>
      </c>
      <c r="H111">
        <f t="shared" si="16"/>
        <v>13</v>
      </c>
      <c r="I111" s="5">
        <v>2.1</v>
      </c>
      <c r="J111" t="str">
        <f t="shared" si="13"/>
        <v>Poor</v>
      </c>
    </row>
    <row r="112" spans="1:10" x14ac:dyDescent="0.35">
      <c r="A112" t="s">
        <v>77</v>
      </c>
      <c r="B112" s="3">
        <v>1570</v>
      </c>
      <c r="C112" s="3">
        <v>2988</v>
      </c>
      <c r="D112" s="3">
        <f t="shared" si="14"/>
        <v>1418</v>
      </c>
      <c r="E112" s="6">
        <f t="shared" si="15"/>
        <v>0.4745649263721553</v>
      </c>
      <c r="F112" s="6" t="str">
        <f t="shared" si="17"/>
        <v>High Discount</v>
      </c>
      <c r="G112">
        <v>-7</v>
      </c>
      <c r="H112">
        <f t="shared" si="16"/>
        <v>7</v>
      </c>
      <c r="I112" s="5">
        <v>2.1</v>
      </c>
      <c r="J112" t="str">
        <f t="shared" si="13"/>
        <v>Poor</v>
      </c>
    </row>
    <row r="113" spans="1:10" x14ac:dyDescent="0.35">
      <c r="A113" t="s">
        <v>112</v>
      </c>
      <c r="B113" s="3">
        <v>450</v>
      </c>
      <c r="C113" s="3">
        <v>900</v>
      </c>
      <c r="D113" s="3">
        <f t="shared" si="14"/>
        <v>450</v>
      </c>
      <c r="E113" s="6">
        <f t="shared" si="15"/>
        <v>0.5</v>
      </c>
      <c r="F113" s="6" t="str">
        <f t="shared" si="17"/>
        <v>High Discount</v>
      </c>
      <c r="G113">
        <v>-1</v>
      </c>
      <c r="H113">
        <f t="shared" si="16"/>
        <v>1</v>
      </c>
      <c r="I113" s="5">
        <v>2</v>
      </c>
      <c r="J113" t="str">
        <f t="shared" si="13"/>
        <v>Poor</v>
      </c>
    </row>
    <row r="114" spans="1:10" x14ac:dyDescent="0.35">
      <c r="E114" s="6"/>
      <c r="F114" s="6"/>
    </row>
  </sheetData>
  <sortState ref="A2:K115">
    <sortCondition descending="1" ref="I1"/>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47" zoomScaleNormal="60" workbookViewId="0">
      <selection activeCell="N48" sqref="N48"/>
    </sheetView>
  </sheetViews>
  <sheetFormatPr defaultRowHeight="14.5" x14ac:dyDescent="0.35"/>
  <cols>
    <col min="1" max="16384" width="8.7265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Avg rating by Disc Category</vt:lpstr>
      <vt:lpstr>Product Distribution</vt:lpstr>
      <vt:lpstr>Relationship btwn disc% </vt:lpstr>
      <vt:lpstr>Rship btwn rating</vt:lpstr>
      <vt:lpstr>Disc vs Customer Engagement</vt:lpstr>
      <vt:lpstr>High rated products vs reviews</vt:lpstr>
      <vt:lpstr>Top 10 disc</vt:lpstr>
      <vt:lpstr>Top 10 by reviews</vt:lpstr>
      <vt:lpstr>Top 10 Rating</vt:lpstr>
      <vt:lpstr>Sheet3</vt:lpstr>
      <vt:lpstr>excel_jumia_original</vt:lpstr>
      <vt:lpstr>Jumia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2026-01-27T14:38:24Z</dcterms:created>
  <dcterms:modified xsi:type="dcterms:W3CDTF">2026-06-11T18:06:58Z</dcterms:modified>
</cp:coreProperties>
</file>