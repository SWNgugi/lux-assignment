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esktop\Lux Assignment\"/>
    </mc:Choice>
  </mc:AlternateContent>
  <bookViews>
    <workbookView xWindow="0" yWindow="0" windowWidth="8100" windowHeight="5280" firstSheet="5" activeTab="10"/>
  </bookViews>
  <sheets>
    <sheet name="Avg rating by Disc Category" sheetId="2" r:id="rId1"/>
    <sheet name="Product Distribution" sheetId="3" r:id="rId2"/>
    <sheet name="Rship btwn Disc% and reviews" sheetId="5" r:id="rId3"/>
    <sheet name="Rating vs Reviews" sheetId="6" r:id="rId4"/>
    <sheet name="Disc vs Customer Engagements" sheetId="7" r:id="rId5"/>
    <sheet name="High rated Products vs Reviews" sheetId="8" r:id="rId6"/>
    <sheet name="Top 10 disc" sheetId="9" r:id="rId7"/>
    <sheet name="Top 10 by reviews" sheetId="10" r:id="rId8"/>
    <sheet name="Top 10 Rating" sheetId="11" r:id="rId9"/>
    <sheet name="KPIs" sheetId="12" r:id="rId10"/>
    <sheet name="Dashboard" sheetId="13" r:id="rId11"/>
    <sheet name="Excel_jumia (1)" sheetId="1" r:id="rId12"/>
  </sheets>
  <definedNames>
    <definedName name="_xlnm._FilterDatabase" localSheetId="11" hidden="1">'Excel_jumia (1)'!$A$1:$I$113</definedName>
    <definedName name="Slicer_Discount_Category">#N/A</definedName>
    <definedName name="Slicer_Rating_Category">#N/A</definedName>
  </definedNames>
  <calcPr calcId="162913"/>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F31" i="1" l="1"/>
  <c r="F16" i="1"/>
  <c r="F12" i="1"/>
  <c r="F9" i="1"/>
  <c r="F34" i="1"/>
  <c r="F17" i="1"/>
  <c r="F35" i="1"/>
  <c r="F10" i="1"/>
  <c r="F93" i="1"/>
  <c r="F32" i="1"/>
  <c r="F13" i="1"/>
  <c r="F11" i="1"/>
  <c r="F22" i="1"/>
  <c r="F30" i="1"/>
  <c r="F2" i="1"/>
  <c r="F3" i="1"/>
  <c r="F4" i="1"/>
  <c r="F18" i="1"/>
  <c r="F19" i="1"/>
  <c r="F96" i="1"/>
  <c r="F38" i="1"/>
  <c r="F36" i="1"/>
  <c r="F25" i="1"/>
  <c r="F26" i="1"/>
  <c r="F20" i="1"/>
  <c r="F94" i="1"/>
  <c r="F95" i="1"/>
  <c r="F33" i="1"/>
  <c r="F39" i="1"/>
  <c r="F27" i="1"/>
  <c r="F14" i="1"/>
  <c r="F28" i="1"/>
  <c r="F15" i="1"/>
  <c r="F23" i="1"/>
  <c r="F5" i="1"/>
  <c r="F6" i="1"/>
  <c r="F29" i="1"/>
  <c r="F24" i="1"/>
  <c r="F40" i="1"/>
  <c r="F41" i="1"/>
  <c r="F42" i="1"/>
  <c r="F43" i="1"/>
  <c r="F44" i="1"/>
  <c r="F45" i="1"/>
  <c r="F46" i="1"/>
  <c r="F47" i="1"/>
  <c r="F48" i="1"/>
  <c r="F49" i="1"/>
  <c r="F50" i="1"/>
  <c r="F51" i="1"/>
  <c r="F52" i="1"/>
  <c r="F53" i="1"/>
  <c r="F54" i="1"/>
  <c r="F55" i="1"/>
  <c r="F56" i="1"/>
  <c r="F57" i="1"/>
  <c r="F58" i="1"/>
  <c r="F59" i="1"/>
  <c r="F106" i="1"/>
  <c r="F97" i="1"/>
  <c r="F111" i="1"/>
  <c r="F103" i="1"/>
  <c r="F104" i="1"/>
  <c r="F102" i="1"/>
  <c r="F109" i="1"/>
  <c r="F107" i="1"/>
  <c r="F98" i="1"/>
  <c r="F105" i="1"/>
  <c r="F99" i="1"/>
  <c r="F108" i="1"/>
  <c r="F100" i="1"/>
  <c r="F110" i="1"/>
  <c r="F112" i="1"/>
  <c r="F60" i="1"/>
  <c r="F61" i="1"/>
  <c r="F62" i="1"/>
  <c r="F63" i="1"/>
  <c r="F101" i="1"/>
  <c r="F7" i="1"/>
  <c r="F64" i="1"/>
  <c r="F65" i="1"/>
  <c r="F37" i="1"/>
  <c r="F66" i="1"/>
  <c r="F67" i="1"/>
  <c r="F68" i="1"/>
  <c r="F69" i="1"/>
  <c r="F70" i="1"/>
  <c r="F71" i="1"/>
  <c r="F72" i="1"/>
  <c r="F73" i="1"/>
  <c r="F74" i="1"/>
  <c r="F75" i="1"/>
  <c r="F76" i="1"/>
  <c r="F77" i="1"/>
  <c r="F78" i="1"/>
  <c r="F79" i="1"/>
  <c r="F80" i="1"/>
  <c r="F81" i="1"/>
  <c r="F82" i="1"/>
  <c r="F83" i="1"/>
  <c r="F8" i="1"/>
  <c r="F84" i="1"/>
  <c r="F85" i="1"/>
  <c r="F86" i="1"/>
  <c r="F87" i="1"/>
  <c r="F88" i="1"/>
  <c r="F89" i="1"/>
  <c r="F90" i="1"/>
  <c r="F91" i="1"/>
  <c r="F113" i="1"/>
  <c r="F92" i="1"/>
  <c r="F21" i="1"/>
  <c r="I31" i="1"/>
  <c r="I16" i="1"/>
  <c r="I12" i="1"/>
  <c r="I9" i="1"/>
  <c r="I34" i="1"/>
  <c r="I17" i="1"/>
  <c r="I35" i="1"/>
  <c r="I10" i="1"/>
  <c r="I93" i="1"/>
  <c r="I32" i="1"/>
  <c r="I13" i="1"/>
  <c r="I11" i="1"/>
  <c r="I22" i="1"/>
  <c r="I30" i="1"/>
  <c r="I2" i="1"/>
  <c r="I3" i="1"/>
  <c r="I4" i="1"/>
  <c r="I18" i="1"/>
  <c r="I19" i="1"/>
  <c r="I96" i="1"/>
  <c r="I38" i="1"/>
  <c r="I36" i="1"/>
  <c r="I25" i="1"/>
  <c r="I26" i="1"/>
  <c r="I20" i="1"/>
  <c r="I94" i="1"/>
  <c r="I95" i="1"/>
  <c r="I33" i="1"/>
  <c r="I39" i="1"/>
  <c r="I27" i="1"/>
  <c r="I14" i="1"/>
  <c r="I28" i="1"/>
  <c r="I15" i="1"/>
  <c r="I23" i="1"/>
  <c r="I5" i="1"/>
  <c r="I6" i="1"/>
  <c r="I29" i="1"/>
  <c r="I24" i="1"/>
  <c r="I40" i="1"/>
  <c r="I41" i="1"/>
  <c r="I42" i="1"/>
  <c r="I43" i="1"/>
  <c r="I44" i="1"/>
  <c r="I45" i="1"/>
  <c r="I46" i="1"/>
  <c r="I47" i="1"/>
  <c r="I48" i="1"/>
  <c r="I49" i="1"/>
  <c r="I50" i="1"/>
  <c r="I51" i="1"/>
  <c r="I52" i="1"/>
  <c r="I53" i="1"/>
  <c r="I54" i="1"/>
  <c r="I55" i="1"/>
  <c r="I56" i="1"/>
  <c r="I57" i="1"/>
  <c r="I58" i="1"/>
  <c r="I59" i="1"/>
  <c r="I106" i="1"/>
  <c r="I97" i="1"/>
  <c r="I111" i="1"/>
  <c r="I103" i="1"/>
  <c r="I104" i="1"/>
  <c r="I102" i="1"/>
  <c r="I109" i="1"/>
  <c r="I107" i="1"/>
  <c r="I98" i="1"/>
  <c r="I105" i="1"/>
  <c r="I99" i="1"/>
  <c r="I108" i="1"/>
  <c r="I100" i="1"/>
  <c r="I110" i="1"/>
  <c r="I112" i="1"/>
  <c r="I60" i="1"/>
  <c r="I61" i="1"/>
  <c r="I62" i="1"/>
  <c r="I63" i="1"/>
  <c r="I101" i="1"/>
  <c r="I7" i="1"/>
  <c r="I64" i="1"/>
  <c r="I65" i="1"/>
  <c r="I37" i="1"/>
  <c r="I66" i="1"/>
  <c r="I67" i="1"/>
  <c r="I68" i="1"/>
  <c r="I69" i="1"/>
  <c r="I70" i="1"/>
  <c r="I71" i="1"/>
  <c r="I72" i="1"/>
  <c r="I73" i="1"/>
  <c r="I74" i="1"/>
  <c r="I75" i="1"/>
  <c r="I76" i="1"/>
  <c r="I77" i="1"/>
  <c r="I78" i="1"/>
  <c r="I79" i="1"/>
  <c r="I80" i="1"/>
  <c r="I81" i="1"/>
  <c r="I82" i="1"/>
  <c r="I83" i="1"/>
  <c r="I8" i="1"/>
  <c r="I84" i="1"/>
  <c r="I85" i="1"/>
  <c r="I86" i="1"/>
  <c r="I87" i="1"/>
  <c r="I88" i="1"/>
  <c r="I89" i="1"/>
  <c r="I90" i="1"/>
  <c r="I91" i="1"/>
  <c r="I113" i="1"/>
  <c r="I92" i="1"/>
  <c r="I21" i="1"/>
  <c r="D31" i="1"/>
  <c r="D16" i="1"/>
  <c r="D12" i="1"/>
  <c r="D9" i="1"/>
  <c r="D34" i="1"/>
  <c r="D17" i="1"/>
  <c r="D35" i="1"/>
  <c r="D10" i="1"/>
  <c r="D93" i="1"/>
  <c r="D32" i="1"/>
  <c r="D13" i="1"/>
  <c r="D11" i="1"/>
  <c r="D22" i="1"/>
  <c r="D30" i="1"/>
  <c r="D2" i="1"/>
  <c r="D3" i="1"/>
  <c r="D4" i="1"/>
  <c r="D18" i="1"/>
  <c r="D19" i="1"/>
  <c r="D96" i="1"/>
  <c r="D38" i="1"/>
  <c r="D36" i="1"/>
  <c r="D25" i="1"/>
  <c r="D26" i="1"/>
  <c r="D20" i="1"/>
  <c r="D94" i="1"/>
  <c r="D95" i="1"/>
  <c r="D33" i="1"/>
  <c r="D39" i="1"/>
  <c r="D27" i="1"/>
  <c r="D14" i="1"/>
  <c r="D28" i="1"/>
  <c r="D15" i="1"/>
  <c r="D23" i="1"/>
  <c r="D5" i="1"/>
  <c r="D6" i="1"/>
  <c r="D29" i="1"/>
  <c r="D24" i="1"/>
  <c r="D40" i="1"/>
  <c r="D41" i="1"/>
  <c r="D42" i="1"/>
  <c r="D43" i="1"/>
  <c r="D44" i="1"/>
  <c r="D45" i="1"/>
  <c r="D46" i="1"/>
  <c r="D47" i="1"/>
  <c r="D48" i="1"/>
  <c r="D49" i="1"/>
  <c r="D50" i="1"/>
  <c r="D51" i="1"/>
  <c r="D52" i="1"/>
  <c r="D53" i="1"/>
  <c r="D54" i="1"/>
  <c r="D55" i="1"/>
  <c r="D56" i="1"/>
  <c r="D57" i="1"/>
  <c r="D58" i="1"/>
  <c r="D59" i="1"/>
  <c r="D106" i="1"/>
  <c r="D97" i="1"/>
  <c r="D111" i="1"/>
  <c r="D103" i="1"/>
  <c r="D104" i="1"/>
  <c r="D102" i="1"/>
  <c r="D109" i="1"/>
  <c r="D107" i="1"/>
  <c r="D98" i="1"/>
  <c r="D105" i="1"/>
  <c r="D99" i="1"/>
  <c r="D108" i="1"/>
  <c r="D100" i="1"/>
  <c r="D110" i="1"/>
  <c r="D112" i="1"/>
  <c r="D60" i="1"/>
  <c r="D61" i="1"/>
  <c r="D62" i="1"/>
  <c r="D63" i="1"/>
  <c r="D101" i="1"/>
  <c r="D7" i="1"/>
  <c r="D64" i="1"/>
  <c r="D65" i="1"/>
  <c r="D37" i="1"/>
  <c r="D66" i="1"/>
  <c r="D67" i="1"/>
  <c r="D68" i="1"/>
  <c r="D69" i="1"/>
  <c r="D70" i="1"/>
  <c r="D71" i="1"/>
  <c r="D72" i="1"/>
  <c r="D73" i="1"/>
  <c r="D74" i="1"/>
  <c r="D75" i="1"/>
  <c r="D76" i="1"/>
  <c r="D77" i="1"/>
  <c r="D78" i="1"/>
  <c r="D79" i="1"/>
  <c r="D80" i="1"/>
  <c r="D81" i="1"/>
  <c r="D82" i="1"/>
  <c r="D83" i="1"/>
  <c r="D8" i="1"/>
  <c r="D84" i="1"/>
  <c r="D85" i="1"/>
  <c r="D86" i="1"/>
  <c r="D87" i="1"/>
  <c r="D88" i="1"/>
  <c r="D89" i="1"/>
  <c r="D90" i="1"/>
  <c r="D91" i="1"/>
  <c r="D113" i="1"/>
  <c r="D92" i="1"/>
  <c r="D21" i="1"/>
</calcChain>
</file>

<file path=xl/sharedStrings.xml><?xml version="1.0" encoding="utf-8"?>
<sst xmlns="http://schemas.openxmlformats.org/spreadsheetml/2006/main" count="213" uniqueCount="154">
  <si>
    <t>Product</t>
  </si>
  <si>
    <t>Current price</t>
  </si>
  <si>
    <t>Discount</t>
  </si>
  <si>
    <t>Review</t>
  </si>
  <si>
    <t>115  Piece Set Of Multifunctional Precision Screwdrivers</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</si>
  <si>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</si>
  <si>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</si>
  <si>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</si>
  <si>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</si>
  <si>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</si>
  <si>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</si>
  <si>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</si>
  <si>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</si>
  <si>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</si>
  <si>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</si>
  <si>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Peacock  Throw Pillow Cushion Case For Home Car</t>
  </si>
  <si>
    <t>LED Wall Digital Alarm Clock Study Home 12 / 24H Clock Calendar</t>
  </si>
  <si>
    <t>3D Waterproof EVA Plastic Shower Curtain 1.8*2Mtrs</t>
  </si>
  <si>
    <t>3PCS Single Head Knitting Crochet Sweater Needle Set</t>
  </si>
  <si>
    <t>4pcs Bathroom/Kitchen Towel Rack,Roll Paper Holder,Towel Bars,Hook</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</si>
  <si>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</si>
  <si>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</si>
  <si>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</si>
  <si>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</si>
  <si>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</si>
  <si>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</si>
  <si>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12 Litre Insulated Lunch Box Grey</t>
  </si>
  <si>
    <t>DIY File Folder, Office Drawer File Holder, Pen Holder, Desktop Storage Rack</t>
  </si>
  <si>
    <t>Classic Black Cat Cotton Hemp Pillow Case For Home Car</t>
  </si>
  <si>
    <t>Balloon Insert, Birthday Party Balloon Set, PU Leather</t>
  </si>
  <si>
    <t>Shower Cap Wide Elastic Band Cover Reusable Bashroom Cap</t>
  </si>
  <si>
    <t>Christmas Elk Fence Yard Lawn Decorations Cute For Holidays</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</si>
  <si>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</si>
  <si>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</si>
  <si>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</si>
  <si>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</si>
  <si>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</si>
  <si>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</si>
  <si>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Cute Christmas Fence Garden Decorations For Holiday Home</t>
  </si>
  <si>
    <t>Simple Metal Dog Art Sculpture Decoration For Home Office</t>
  </si>
  <si>
    <t>Christmas Fence Garden Decorations Outdoor For Holiday Home</t>
  </si>
  <si>
    <t>Angle Measuring Tool Full Metal Multi Angle Measuring Tool</t>
  </si>
  <si>
    <t>5 Pieces/set Of Stainless Steel Induction Cooker Pots</t>
  </si>
  <si>
    <t>Mythco 120COB Solar Wall Ligt With Motion Sensor And Remote Control 3 Modes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</si>
  <si>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</si>
  <si>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</si>
  <si>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</si>
  <si>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</si>
  <si>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</si>
  <si>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Agapeon Toothbrush Holder And Toothpaste Dispenser</t>
  </si>
  <si>
    <t>Large Lazy Inflatable Sofa Chairs PVC Lounger Seat Bag</t>
  </si>
  <si>
    <t>Watercolour Gold Foil Textured Print Pillow Cover</t>
  </si>
  <si>
    <t>Wrought Iron Bathroom Shelf Wall Mounted Free Punch Toilet Rack</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</si>
  <si>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</si>
  <si>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</si>
  <si>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</si>
  <si>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</si>
  <si>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</si>
  <si>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</si>
  <si>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</si>
  <si>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</si>
  <si>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</si>
  <si>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</si>
  <si>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</si>
  <si>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</si>
  <si>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</si>
  <si>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</si>
  <si>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</si>
  <si>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</si>
  <si>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</si>
  <si>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</si>
  <si>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</si>
  <si>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</si>
  <si>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9pcs Gas Mask, For Painting, Dust, Formaldehyde Grinding, Polishing</t>
  </si>
  <si>
    <t>1PC Refrigerator Food Seal Pocket Fridge Bags</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</si>
  <si>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</si>
  <si>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</si>
  <si>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</si>
  <si>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</si>
  <si>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Black Simple Water Cup Wine Coaster Anti Slip Absorbent</t>
  </si>
  <si>
    <t xml:space="preserve"> Old price</t>
  </si>
  <si>
    <t>Metal Decorative Hooks Key Hangers Entryway Wall Hooks Towel Hooks  Home</t>
  </si>
  <si>
    <t>Portable Mini Cordless Car Vacuum Cleaner  Blue</t>
  </si>
  <si>
    <t>Weighing Scale Digital Bathroom Body Fat Scale USBBlack</t>
  </si>
  <si>
    <t>Portable Home Small Air Humidifier 3Speed Fan  Green</t>
  </si>
  <si>
    <t>AntiSkid Absorbent Insulation Coaster  For Home Office</t>
  </si>
  <si>
    <t>LASA Aluminum Folding Truck Hand Cart  68kg Max</t>
  </si>
  <si>
    <t>LED Romantic Spaceship Starry Sky Projector,Children's Bedroom Night LightBlue</t>
  </si>
  <si>
    <t>MultiFunctional Storage Rack Multilayer Bookshelf</t>
  </si>
  <si>
    <t>Exfoliate And Exfoliate Face Towel  Black</t>
  </si>
  <si>
    <t>LED Eye Protection  Desk Lamp , Study, Reading, USB Fan  Double Pen Holder</t>
  </si>
  <si>
    <t>53Pcs/Set Yarn Knitting Crochet Hooks With Bag  Fortune Cat</t>
  </si>
  <si>
    <t>53 Pieces/Set Yarn Knitting Crochet Hooks With Bag  Pansies</t>
  </si>
  <si>
    <t>Punchfree Great Load Bearing Bathroom Storage Rack Wall ShelfWhite</t>
  </si>
  <si>
    <t>1/2/3 Seater Elastic Sofa Cover,Living Room/Home Decor Chair CoverGrey</t>
  </si>
  <si>
    <t>LASA Stainless Steel Double Wall Mount Soap Dispenser  500ml</t>
  </si>
  <si>
    <t>4M Float Switch Water Level Controller Water Tank</t>
  </si>
  <si>
    <t>Modern Sofa Throw Pillow Cover45x45cmBlue&amp;Red</t>
  </si>
  <si>
    <t>60W Hot Melt Glue Sprayer  Efficient And Stable Glue Dispensing</t>
  </si>
  <si>
    <t>Multipurpose Rice Drainage Basket And Fruit And Vegetable Drainage Sieve</t>
  </si>
  <si>
    <t>12V 19500rpm Handheld Electric Angle Grinder Tool  UK  Yellow/Black</t>
  </si>
  <si>
    <t>5PCS Stainless Steel Cooking Pot Set With Steamed Slices</t>
  </si>
  <si>
    <t>32PCS Portable Cordless Drill Set With Cyclic Battery Drive 26 Variable Speed</t>
  </si>
  <si>
    <t>7piece Set Of Storage Bags, Travel Storage Bags, Shoe Bags</t>
  </si>
  <si>
    <t>Electric LED UV Mosquito Killer Lamp, Outdoor/Indoor Fly Killer Trap Light USB</t>
  </si>
  <si>
    <t>Memory Foam Neck Pillow Cover, With Pillow Core  50*30cm</t>
  </si>
  <si>
    <t>Bedroom Simple Floor Hanging Clothes Rack Single Pole Hat Rack  White</t>
  </si>
  <si>
    <t>Outdoor Portable Water Bottle With Medicine Box  600ML  Black</t>
  </si>
  <si>
    <t>WallMounted Toothbrush Toothpaste Holder With Multiple Slots</t>
  </si>
  <si>
    <t>2PCS Ice Silk Square Cushion Cover Pillowcases  65x65cm</t>
  </si>
  <si>
    <t>Konka Healty Electric Kettle, 24hour Heat Preservation,1.5L,800W, White</t>
  </si>
  <si>
    <t>24 Grid Wallmounted Sundries Organiser Fabric Closet Bag Storage Rack</t>
  </si>
  <si>
    <t>LED Solar Street Lightfake Camera</t>
  </si>
  <si>
    <t>Wallmounted Sticker Punchfree Plug Fixer</t>
  </si>
  <si>
    <t>Rating Category</t>
  </si>
  <si>
    <t>Discount Category</t>
  </si>
  <si>
    <t>Row Labels</t>
  </si>
  <si>
    <t>Grand Total</t>
  </si>
  <si>
    <t>Low</t>
  </si>
  <si>
    <t>Medium</t>
  </si>
  <si>
    <t>High</t>
  </si>
  <si>
    <t>Sum of Discount</t>
  </si>
  <si>
    <t>Ratings</t>
  </si>
  <si>
    <t>Discount Amt</t>
  </si>
  <si>
    <t>Sum of Ratings</t>
  </si>
  <si>
    <t>Average of Discount Amt</t>
  </si>
  <si>
    <t>Average of Ratings</t>
  </si>
  <si>
    <t>Excellent</t>
  </si>
  <si>
    <t>Average</t>
  </si>
  <si>
    <t>Poor</t>
  </si>
  <si>
    <t>Count of Product</t>
  </si>
  <si>
    <t>Sum of Review</t>
  </si>
  <si>
    <t>0.01-0.11</t>
  </si>
  <si>
    <t>0.11-0.21</t>
  </si>
  <si>
    <t>0.21-0.31</t>
  </si>
  <si>
    <t>0.31-0.41</t>
  </si>
  <si>
    <t>0.41-0.51</t>
  </si>
  <si>
    <t>0.51-0.61</t>
  </si>
  <si>
    <t>0.61-0.71</t>
  </si>
  <si>
    <t>Count of Review</t>
  </si>
  <si>
    <t>24-274</t>
  </si>
  <si>
    <t>274-524</t>
  </si>
  <si>
    <t>524-774</t>
  </si>
  <si>
    <t>774-1024</t>
  </si>
  <si>
    <t>1024-1274</t>
  </si>
  <si>
    <t>1274-1524</t>
  </si>
  <si>
    <t>1524-1774</t>
  </si>
  <si>
    <t>1774-2024</t>
  </si>
  <si>
    <t>2274-2524</t>
  </si>
  <si>
    <t>2524-2774</t>
  </si>
  <si>
    <t>Total Products</t>
  </si>
  <si>
    <t>Average Rating</t>
  </si>
  <si>
    <t>Average Discount</t>
  </si>
  <si>
    <t>Total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</si>
</sst>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KES]\ #,##0.00;[Red][$KES]\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5F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4">
    <xf numFmtId="0" fontId="0" fillId="0" borderId="0" xfId="0"/>
    <xf numFmtId="9" fontId="0" fillId="0" borderId="0" xfId="0" applyNumberFormat="1"/>
    <xf numFmtId="0" fontId="16" fillId="0" borderId="0" xfId="0" applyFont="1"/>
    <xf numFmtId="3" fontId="0" fillId="0" borderId="0" xfId="0" applyNumberFormat="1"/>
    <xf numFmtId="9" fontId="16" fillId="0" borderId="0" xfId="0" applyNumberFormat="1" applyFont="1"/>
    <xf numFmtId="0" fontId="0" fillId="0" borderId="0" xfId="0" pivotButton="1"/>
    <xf numFmtId="9" fontId="0" fillId="0" borderId="0" xfId="0" applyNumberFormat="1" applyAlignment="1">
      <alignment horizontal="left"/>
    </xf>
    <xf numFmtId="0" fontId="0" fillId="0" borderId="0" xfId="0" applyAlignment="1">
      <alignment horizontal="left"/>
    </xf>
    <xf numFmtId="0" fontId="0" fillId="0" borderId="0" xfId="0" applyNumberFormat="1"/>
    <xf numFmtId="3" fontId="0" fillId="0" borderId="0" xfId="0" applyNumberFormat="1" applyAlignment="1">
      <alignment horizontal="left"/>
    </xf>
    <xf numFmtId="2" fontId="0" fillId="0" borderId="0" xfId="0" applyNumberFormat="1"/>
    <xf numFmtId="164" fontId="16" fillId="0" borderId="0" xfId="0" applyNumberFormat="1" applyFont="1"/>
    <xf numFmtId="164" fontId="0" fillId="0" borderId="0" xfId="0" applyNumberFormat="1"/>
    <xf numFmtId="1" fontId="16" fillId="0" borderId="0" xfId="0" applyNumberFormat="1" applyFont="1"/>
    <xf numFmtId="1" fontId="0" fillId="0" borderId="0" xfId="0" applyNumberFormat="1"/>
    <xf numFmtId="49" fontId="0" fillId="0" borderId="0" xfId="0" applyNumberFormat="1"/>
    <xf numFmtId="49" fontId="16" fillId="0" borderId="0" xfId="0" applyNumberFormat="1" applyFont="1"/>
    <xf numFmtId="10" fontId="0" fillId="0" borderId="0" xfId="0" applyNumberFormat="1"/>
    <xf numFmtId="0" fontId="0" fillId="33" borderId="0" xfId="0" applyFill="1"/>
    <xf numFmtId="10" fontId="16" fillId="0" borderId="0" xfId="0" applyNumberFormat="1" applyFont="1" applyAlignment="1">
      <alignment horizontal="center" vertical="center"/>
    </xf>
    <xf numFmtId="0" fontId="16" fillId="0" borderId="0" xfId="0" applyNumberFormat="1" applyFont="1" applyAlignment="1">
      <alignment horizontal="center" vertical="center"/>
    </xf>
    <xf numFmtId="2" fontId="16" fillId="0" borderId="0" xfId="0" applyNumberFormat="1" applyFont="1" applyAlignment="1">
      <alignment horizontal="center" vertical="center"/>
    </xf>
    <xf numFmtId="1" fontId="16" fillId="0" borderId="0" xfId="0" applyNumberFormat="1" applyFont="1" applyAlignment="1">
      <alignment horizontal="center" vertical="center"/>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4">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2" formatCode="0.00"/>
    </dxf>
    <dxf>
      <numFmt numFmtId="2" formatCode="0.00"/>
    </dxf>
    <dxf>
      <numFmt numFmtId="2" formatCode="0.00"/>
    </dxf>
    <dxf>
      <numFmt numFmtId="2" formatCode="0.0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13" formatCode="0%"/>
    </dxf>
    <dxf>
      <numFmt numFmtId="13" formatCode="0%"/>
    </dxf>
    <dxf>
      <numFmt numFmtId="13" formatCode="0%"/>
    </dxf>
    <dxf>
      <numFmt numFmtId="13" formatCode="0%"/>
    </dxf>
    <dxf>
      <numFmt numFmtId="14" formatCode="0.00%"/>
    </dxf>
    <dxf>
      <numFmt numFmtId="14" formatCode="0.00%"/>
    </dxf>
    <dxf>
      <numFmt numFmtId="14" formatCode="0.00%"/>
    </dxf>
    <dxf>
      <numFmt numFmtId="14" formatCode="0.0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numFmt numFmtId="2" formatCode="0.00"/>
    </dxf>
    <dxf>
      <numFmt numFmtId="2" formatCode="0.00"/>
    </dxf>
    <dxf>
      <numFmt numFmtId="2" formatCode="0.00"/>
    </dxf>
    <dxf>
      <numFmt numFmtId="2" formatCode="0.00"/>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numFmt numFmtId="2" formatCode="0.00"/>
    </dxf>
    <dxf>
      <numFmt numFmtId="2" formatCode="0.00"/>
    </dxf>
    <dxf>
      <numFmt numFmtId="2" formatCode="0.00"/>
    </dxf>
    <dxf>
      <numFmt numFmtId="2" formatCode="0.00"/>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4" formatCode="0.00%"/>
    </dxf>
    <dxf>
      <numFmt numFmtId="14" formatCode="0.00%"/>
    </dxf>
    <dxf>
      <numFmt numFmtId="14" formatCode="0.00%"/>
    </dxf>
    <dxf>
      <numFmt numFmtId="14" formatCode="0.00%"/>
    </dxf>
    <dxf>
      <numFmt numFmtId="13" formatCode="0%"/>
    </dxf>
    <dxf>
      <numFmt numFmtId="13" formatCode="0%"/>
    </dxf>
    <dxf>
      <numFmt numFmtId="13" formatCode="0%"/>
    </dxf>
    <dxf>
      <numFmt numFmtId="13" formatCode="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Assignment.xlsx]Rship btwn Disc% and reviews!PivotTable4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Relationship Between Discount Percentage and Number of Reviews</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'Rship btwn Disc% and reviews'!$B$3</c:f>
              <c:strCache>
                <c:ptCount val="1"/>
                <c:pt idx="0">
                  <c:v>Total</c:v>
                </c:pt>
              </c:strCache>
            </c:strRef>
          </c:tx>
          <c:spPr>
            <a:ln w="28575" cap="rnd">
              <a:solidFill>
                <a:schemeClr val="accent1"/>
              </a:solidFill>
              <a:round/>
            </a:ln>
            <a:effectLst/>
          </c:spPr>
          <c:marker>
            <c:symbol val="none"/>
          </c:marker>
          <c:cat>
            <c:strRef>
              <c:f>'Rship btwn Disc% and reviews'!$A$4:$A$11</c:f>
              <c:strCache>
                <c:ptCount val="7"/>
                <c:pt idx="0">
                  <c:v>0.01-0.11</c:v>
                </c:pt>
                <c:pt idx="1">
                  <c:v>0.11-0.21</c:v>
                </c:pt>
                <c:pt idx="2">
                  <c:v>0.21-0.31</c:v>
                </c:pt>
                <c:pt idx="3">
                  <c:v>0.31-0.41</c:v>
                </c:pt>
                <c:pt idx="4">
                  <c:v>0.41-0.51</c:v>
                </c:pt>
                <c:pt idx="5">
                  <c:v>0.51-0.61</c:v>
                </c:pt>
                <c:pt idx="6">
                  <c:v>0.61-0.71</c:v>
                </c:pt>
              </c:strCache>
            </c:strRef>
          </c:cat>
          <c:val>
            <c:numRef>
              <c:f>'Rship btwn Disc% and reviews'!$B$4:$B$11</c:f>
              <c:numCache>
                <c:formatCode>General</c:formatCode>
                <c:ptCount val="7"/>
                <c:pt idx="0">
                  <c:v>12</c:v>
                </c:pt>
                <c:pt idx="1">
                  <c:v>7</c:v>
                </c:pt>
                <c:pt idx="2">
                  <c:v>13</c:v>
                </c:pt>
                <c:pt idx="3">
                  <c:v>18</c:v>
                </c:pt>
                <c:pt idx="4">
                  <c:v>50</c:v>
                </c:pt>
                <c:pt idx="5">
                  <c:v>10</c:v>
                </c:pt>
                <c:pt idx="6">
                  <c:v>2</c:v>
                </c:pt>
              </c:numCache>
            </c:numRef>
          </c:val>
          <c:smooth val="0"/>
          <c:extLst>
            <c:ext xmlns:c16="http://schemas.microsoft.com/office/drawing/2014/chart" uri="{C3380CC4-5D6E-409C-BE32-E72D297353CC}">
              <c16:uniqueId val="{00000000-B2FA-49B4-92A2-06DC8BF82BD2}"/>
            </c:ext>
          </c:extLst>
        </c:ser>
        <c:dLbls>
          <c:showLegendKey val="0"/>
          <c:showVal val="0"/>
          <c:showCatName val="0"/>
          <c:showSerName val="0"/>
          <c:showPercent val="0"/>
          <c:showBubbleSize val="0"/>
        </c:dLbls>
        <c:smooth val="0"/>
        <c:axId val="1701451039"/>
        <c:axId val="1701441471"/>
      </c:lineChart>
      <c:catAx>
        <c:axId val="170145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41471"/>
        <c:crosses val="autoZero"/>
        <c:auto val="1"/>
        <c:lblAlgn val="ctr"/>
        <c:lblOffset val="100"/>
        <c:noMultiLvlLbl val="0"/>
      </c:catAx>
      <c:valAx>
        <c:axId val="170144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510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Assignment.xlsx]Rating vs Reviews!PivotTable5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Relationship</a:t>
            </a:r>
            <a:r>
              <a:rPr lang="en-US" baseline="0"/>
              <a:t> between Rating and Number of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'Rating vs Reviews'!$B$3</c:f>
              <c:strCache>
                <c:ptCount val="1"/>
                <c:pt idx="0">
                  <c:v>Total</c:v>
                </c:pt>
              </c:strCache>
            </c:strRef>
          </c:tx>
          <c:spPr>
            <a:ln w="28575" cap="rnd">
              <a:solidFill>
                <a:schemeClr val="accent1"/>
              </a:solidFill>
              <a:round/>
            </a:ln>
            <a:effectLst/>
          </c:spPr>
          <c:marker>
            <c:symbol val="none"/>
          </c:marker>
          <c:cat>
            <c:strRef>
              <c:f>'Rating vs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3.89</c:v>
                </c:pt>
                <c:pt idx="13">
                  <c:v>4</c:v>
                </c:pt>
                <c:pt idx="14">
                  <c:v>4.1</c:v>
                </c:pt>
                <c:pt idx="15">
                  <c:v>4.2</c:v>
                </c:pt>
                <c:pt idx="16">
                  <c:v>4.3</c:v>
                </c:pt>
                <c:pt idx="17">
                  <c:v>4.4</c:v>
                </c:pt>
                <c:pt idx="18">
                  <c:v>4.5</c:v>
                </c:pt>
                <c:pt idx="19">
                  <c:v>4.6</c:v>
                </c:pt>
                <c:pt idx="20">
                  <c:v>4.7</c:v>
                </c:pt>
                <c:pt idx="21">
                  <c:v>4.8</c:v>
                </c:pt>
                <c:pt idx="22">
                  <c:v>5</c:v>
                </c:pt>
              </c:strCache>
            </c:strRef>
          </c:cat>
          <c:val>
            <c:numRef>
              <c:f>'Rating vs 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0</c:v>
                </c:pt>
                <c:pt idx="13">
                  <c:v>24</c:v>
                </c:pt>
                <c:pt idx="14">
                  <c:v>46</c:v>
                </c:pt>
                <c:pt idx="15">
                  <c:v>9</c:v>
                </c:pt>
                <c:pt idx="16">
                  <c:v>61</c:v>
                </c:pt>
                <c:pt idx="17">
                  <c:v>14</c:v>
                </c:pt>
                <c:pt idx="18">
                  <c:v>42</c:v>
                </c:pt>
                <c:pt idx="19">
                  <c:v>177</c:v>
                </c:pt>
                <c:pt idx="20">
                  <c:v>78</c:v>
                </c:pt>
                <c:pt idx="21">
                  <c:v>22</c:v>
                </c:pt>
                <c:pt idx="22">
                  <c:v>12</c:v>
                </c:pt>
              </c:numCache>
            </c:numRef>
          </c:val>
          <c:smooth val="0"/>
          <c:extLst>
            <c:ext xmlns:c16="http://schemas.microsoft.com/office/drawing/2014/chart" uri="{C3380CC4-5D6E-409C-BE32-E72D297353CC}">
              <c16:uniqueId val="{00000000-3AEF-4D55-B7FD-8D353D8A6152}"/>
            </c:ext>
          </c:extLst>
        </c:ser>
        <c:dLbls>
          <c:showLegendKey val="0"/>
          <c:showVal val="0"/>
          <c:showCatName val="0"/>
          <c:showSerName val="0"/>
          <c:showPercent val="0"/>
          <c:showBubbleSize val="0"/>
        </c:dLbls>
        <c:smooth val="0"/>
        <c:axId val="1701443551"/>
        <c:axId val="1701450207"/>
      </c:lineChart>
      <c:catAx>
        <c:axId val="170144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50207"/>
        <c:crosses val="autoZero"/>
        <c:auto val="1"/>
        <c:lblAlgn val="ctr"/>
        <c:lblOffset val="100"/>
        <c:noMultiLvlLbl val="0"/>
      </c:catAx>
      <c:valAx>
        <c:axId val="170145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4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Assignment.xlsx]Disc vs Customer Engagements!PivotTable6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Discounts vs Customer Engagements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'Disc vs Customer Engagements'!$B$3</c:f>
              <c:strCache>
                <c:ptCount val="1"/>
                <c:pt idx="0">
                  <c:v>Total</c:v>
                </c:pt>
              </c:strCache>
            </c:strRef>
          </c:tx>
          <c:spPr>
            <a:solidFill>
              <a:schemeClr val="accent1"/>
            </a:solidFill>
            <a:ln>
              <a:noFill/>
            </a:ln>
            <a:effectLst/>
          </c:spPr>
          <c:invertIfNegative val="0"/>
          <c:cat>
            <c:strRef>
              <c:f>'Disc vs Customer Engagements'!$A$4:$A$14</c:f>
              <c:strCache>
                <c:ptCount val="10"/>
                <c:pt idx="0">
                  <c:v>24-274</c:v>
                </c:pt>
                <c:pt idx="1">
                  <c:v>274-524</c:v>
                </c:pt>
                <c:pt idx="2">
                  <c:v>524-774</c:v>
                </c:pt>
                <c:pt idx="3">
                  <c:v>774-1024</c:v>
                </c:pt>
                <c:pt idx="4">
                  <c:v>1024-1274</c:v>
                </c:pt>
                <c:pt idx="5">
                  <c:v>1274-1524</c:v>
                </c:pt>
                <c:pt idx="6">
                  <c:v>1524-1774</c:v>
                </c:pt>
                <c:pt idx="7">
                  <c:v>1774-2024</c:v>
                </c:pt>
                <c:pt idx="8">
                  <c:v>2274-2524</c:v>
                </c:pt>
                <c:pt idx="9">
                  <c:v>2524-2774</c:v>
                </c:pt>
              </c:strCache>
            </c:strRef>
          </c:cat>
          <c:val>
            <c:numRef>
              <c:f>'Disc vs Customer Engagements'!$B$4:$B$14</c:f>
              <c:numCache>
                <c:formatCode>General</c:formatCode>
                <c:ptCount val="10"/>
                <c:pt idx="0">
                  <c:v>129</c:v>
                </c:pt>
                <c:pt idx="1">
                  <c:v>250</c:v>
                </c:pt>
                <c:pt idx="2">
                  <c:v>200</c:v>
                </c:pt>
                <c:pt idx="3">
                  <c:v>89</c:v>
                </c:pt>
                <c:pt idx="4">
                  <c:v>1</c:v>
                </c:pt>
                <c:pt idx="5">
                  <c:v>12</c:v>
                </c:pt>
                <c:pt idx="6">
                  <c:v>14</c:v>
                </c:pt>
                <c:pt idx="7">
                  <c:v>3</c:v>
                </c:pt>
                <c:pt idx="8">
                  <c:v>12</c:v>
                </c:pt>
                <c:pt idx="9">
                  <c:v>13</c:v>
                </c:pt>
              </c:numCache>
            </c:numRef>
          </c:val>
          <c:extLst>
            <c:ext xmlns:c16="http://schemas.microsoft.com/office/drawing/2014/chart" uri="{C3380CC4-5D6E-409C-BE32-E72D297353CC}">
              <c16:uniqueId val="{00000000-D522-43FA-9022-53F4D15EEFD2}"/>
            </c:ext>
          </c:extLst>
        </c:ser>
        <c:dLbls>
          <c:showLegendKey val="0"/>
          <c:showVal val="0"/>
          <c:showCatName val="0"/>
          <c:showSerName val="0"/>
          <c:showPercent val="0"/>
          <c:showBubbleSize val="0"/>
        </c:dLbls>
        <c:gapWidth val="219"/>
        <c:overlap val="-27"/>
        <c:axId val="1386391647"/>
        <c:axId val="1386395391"/>
      </c:barChart>
      <c:catAx>
        <c:axId val="138639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95391"/>
        <c:crosses val="autoZero"/>
        <c:auto val="1"/>
        <c:lblAlgn val="ctr"/>
        <c:lblOffset val="100"/>
        <c:noMultiLvlLbl val="0"/>
      </c:catAx>
      <c:valAx>
        <c:axId val="138639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9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Assignment.xlsx]High rated Products vs Reviews!PivotTable7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Reviews vs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'High rated Products vs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59-4BF5-94F7-995418F93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59-4BF5-94F7-995418F932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59-4BF5-94F7-995418F932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'High rated Products vs Reviews'!$A$4:$A$7</c:f>
              <c:strCache>
                <c:ptCount val="3"/>
                <c:pt idx="0">
                  <c:v>Average</c:v>
                </c:pt>
                <c:pt idx="1">
                  <c:v>Excellent</c:v>
                </c:pt>
                <c:pt idx="2">
                  <c:v>Poor</c:v>
                </c:pt>
              </c:strCache>
            </c:strRef>
          </c:cat>
          <c:val>
            <c:numRef>
              <c:f>'High rated Products vs Reviews'!$B$4:$B$7</c:f>
              <c:numCache>
                <c:formatCode>General</c:formatCode>
                <c:ptCount val="3"/>
                <c:pt idx="0">
                  <c:v>223</c:v>
                </c:pt>
                <c:pt idx="1">
                  <c:v>331</c:v>
                </c:pt>
                <c:pt idx="2">
                  <c:v>169</c:v>
                </c:pt>
              </c:numCache>
            </c:numRef>
          </c:val>
          <c:extLst>
            <c:ext xmlns:c16="http://schemas.microsoft.com/office/drawing/2014/chart" uri="{C3380CC4-5D6E-409C-BE32-E72D297353CC}">
              <c16:uniqueId val="{00000000-4A7A-487E-9114-6C7E8D9F0BC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Assignment.xlsx]Top 10 disc!PivotTable8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Discounts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10 disc'!$B$3</c:f>
              <c:strCache>
                <c:ptCount val="1"/>
                <c:pt idx="0">
                  <c:v>Total</c:v>
                </c:pt>
              </c:strCache>
            </c:strRef>
          </c:tx>
          <c:spPr>
            <a:solidFill>
              <a:schemeClr val="accent1"/>
            </a:solidFill>
            <a:ln>
              <a:noFill/>
            </a:ln>
            <a:effectLst/>
          </c:spPr>
          <c:invertIfNegative val="0"/>
          <c:cat>
            <c:strRef>
              <c:f>'Top 10 disc'!$A$4:$A$14</c:f>
              <c:strCache>
                <c:ptCount val="10"/>
                <c:pt idx="0">
                  <c:v>Creative Owl Shape Keychain Black</c:v>
                </c:pt>
                <c:pt idx="1">
                  <c:v>Simple Metal Dog Art Sculpture Decoration For Home Office</c:v>
                </c:pt>
                <c:pt idx="2">
                  <c:v>Angle Measuring Tool Full Metal Multi Angle Measuring Tool</c:v>
                </c:pt>
                <c:pt idx="3">
                  <c:v>6 In 1 Bottle Can Opener Multifunctional Easy Opener</c:v>
                </c:pt>
                <c:pt idx="4">
                  <c:v>LASA FOLDING TABLE SERVING STAND</c:v>
                </c:pt>
                <c:pt idx="5">
                  <c:v>5PCS Stainless Steel Cooking Pot Set With Steamed Slices</c:v>
                </c:pt>
                <c:pt idx="6">
                  <c:v>LASA 3 Tier Bamboo Shoe Bench Storage Shelf</c:v>
                </c:pt>
                <c:pt idx="7">
                  <c:v>Mythco 120COB Solar Wall Ligt With Motion Sensor And Remote Control 3 Modes</c:v>
                </c:pt>
                <c:pt idx="8">
                  <c:v>3PCS Single Head Knitting Crochet Sweater Needle Set</c:v>
                </c:pt>
                <c:pt idx="9">
                  <c:v>Classic Black Cat Cotton Hemp Pillow Case For Home Car</c:v>
                </c:pt>
              </c:strCache>
            </c:strRef>
          </c:cat>
          <c:val>
            <c:numRef>
              <c:f>'Top 10 disc'!$B$4:$B$14</c:f>
              <c:numCache>
                <c:formatCode>General</c:formatCode>
                <c:ptCount val="10"/>
                <c:pt idx="0">
                  <c:v>1.1000000000000001</c:v>
                </c:pt>
                <c:pt idx="1">
                  <c:v>1</c:v>
                </c:pt>
                <c:pt idx="2">
                  <c:v>0.98</c:v>
                </c:pt>
                <c:pt idx="3">
                  <c:v>0.64</c:v>
                </c:pt>
                <c:pt idx="4">
                  <c:v>0.55000000000000004</c:v>
                </c:pt>
                <c:pt idx="5">
                  <c:v>0.55000000000000004</c:v>
                </c:pt>
                <c:pt idx="6">
                  <c:v>0.54</c:v>
                </c:pt>
                <c:pt idx="7">
                  <c:v>0.54</c:v>
                </c:pt>
                <c:pt idx="8">
                  <c:v>0.53</c:v>
                </c:pt>
                <c:pt idx="9">
                  <c:v>0.53</c:v>
                </c:pt>
              </c:numCache>
            </c:numRef>
          </c:val>
          <c:extLst>
            <c:ext xmlns:c16="http://schemas.microsoft.com/office/drawing/2014/chart" uri="{C3380CC4-5D6E-409C-BE32-E72D297353CC}">
              <c16:uniqueId val="{00000000-2A63-4C78-B6F8-582A36AFDF3F}"/>
            </c:ext>
          </c:extLst>
        </c:ser>
        <c:dLbls>
          <c:showLegendKey val="0"/>
          <c:showVal val="0"/>
          <c:showCatName val="0"/>
          <c:showSerName val="0"/>
          <c:showPercent val="0"/>
          <c:showBubbleSize val="0"/>
        </c:dLbls>
        <c:gapWidth val="182"/>
        <c:axId val="1701455199"/>
        <c:axId val="1701447711"/>
      </c:barChart>
      <c:catAx>
        <c:axId val="170145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47711"/>
        <c:crosses val="autoZero"/>
        <c:auto val="1"/>
        <c:lblAlgn val="ctr"/>
        <c:lblOffset val="100"/>
        <c:noMultiLvlLbl val="0"/>
      </c:catAx>
      <c:valAx>
        <c:axId val="170144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5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Assignment.xlsx]Top 10 by reviews!PivotTable9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'Top 10 by reviews'!$B$3</c:f>
              <c:strCache>
                <c:ptCount val="1"/>
                <c:pt idx="0">
                  <c:v>Total</c:v>
                </c:pt>
              </c:strCache>
            </c:strRef>
          </c:tx>
          <c:spPr>
            <a:solidFill>
              <a:schemeClr val="accent1"/>
            </a:solidFill>
            <a:ln>
              <a:noFill/>
            </a:ln>
            <a:effectLst/>
          </c:spPr>
          <c:invertIfNegative val="0"/>
          <c:cat>
            <c:strRef>
              <c:f>'Top 10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Pansies</c:v>
                </c:pt>
                <c:pt idx="7">
                  <c:v>Portable Mini Cordless Car Vacuum Cleaner  Blue</c:v>
                </c:pt>
                <c:pt idx="8">
                  <c:v>53Pcs/Set Yarn Knitting Crochet Hooks With Bag  Fortune Cat</c:v>
                </c:pt>
                <c:pt idx="9">
                  <c:v>52 Pieces Cake Decorating Tool Set Gift Kit Baking Supplies</c:v>
                </c:pt>
              </c:strCache>
            </c:strRef>
          </c:cat>
          <c:val>
            <c:numRef>
              <c:f>'Top 10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1710-426F-AD1B-6541D697E6F0}"/>
            </c:ext>
          </c:extLst>
        </c:ser>
        <c:dLbls>
          <c:showLegendKey val="0"/>
          <c:showVal val="0"/>
          <c:showCatName val="0"/>
          <c:showSerName val="0"/>
          <c:showPercent val="0"/>
          <c:showBubbleSize val="0"/>
        </c:dLbls>
        <c:gapWidth val="219"/>
        <c:overlap val="-27"/>
        <c:axId val="1696101695"/>
        <c:axId val="1696102527"/>
      </c:barChart>
      <c:catAx>
        <c:axId val="169610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102527"/>
        <c:crosses val="autoZero"/>
        <c:auto val="1"/>
        <c:lblAlgn val="ctr"/>
        <c:lblOffset val="100"/>
        <c:noMultiLvlLbl val="0"/>
      </c:catAx>
      <c:valAx>
        <c:axId val="169610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10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Assignment.xlsx]Top 10 Rating!PivotTable10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'Top 10 Rating'!$B$3</c:f>
              <c:strCache>
                <c:ptCount val="1"/>
                <c:pt idx="0">
                  <c:v>Total</c:v>
                </c:pt>
              </c:strCache>
            </c:strRef>
          </c:tx>
          <c:spPr>
            <a:solidFill>
              <a:schemeClr val="accent1"/>
            </a:solidFill>
            <a:ln>
              <a:noFill/>
            </a:ln>
            <a:effectLst/>
          </c:spPr>
          <c:invertIfNegative val="0"/>
          <c:cat>
            <c:strRef>
              <c:f>'Top 10 Rating'!$A$4:$A$14</c:f>
              <c:strCache>
                <c:ptCount val="10"/>
                <c:pt idx="0">
                  <c:v>Angle Measuring Tool Full Metal Multi Angle Measuring Tool</c:v>
                </c:pt>
                <c:pt idx="1">
                  <c:v>AntiSkid Absorbent Insulation Coaster  For Home Office</c:v>
                </c:pt>
                <c:pt idx="2">
                  <c:v>Bedroom Simple Floor Hanging Clothes Rack Single Pole Hat Rack  White</c:v>
                </c:pt>
                <c:pt idx="3">
                  <c:v>Classic Black Cat Cotton Hemp Pillow Case For Home Car</c:v>
                </c:pt>
                <c:pt idx="4">
                  <c:v>Creative Owl Shape Keychain Black</c:v>
                </c:pt>
                <c:pt idx="5">
                  <c:v>DIY File Folder, Office Drawer File Holder, Pen Holder, Desktop Storage Rack</c:v>
                </c:pt>
                <c:pt idx="6">
                  <c:v>Konka Healty Electric Kettle, 24hour Heat Preservation,1.5L,800W, White</c:v>
                </c:pt>
                <c:pt idx="7">
                  <c:v>LASA Aluminum Folding Truck Hand Cart  68kg Max</c:v>
                </c:pt>
                <c:pt idx="8">
                  <c:v>Peacock  Throw Pillow Cushion Case For Home Car</c:v>
                </c:pt>
                <c:pt idx="9">
                  <c:v>Simple Metal Dog Art Sculpture Decoration For Home Office</c:v>
                </c:pt>
              </c:strCache>
            </c:strRef>
          </c:cat>
          <c:val>
            <c:numRef>
              <c:f>'Top 10 Rating'!$B$4:$B$14</c:f>
              <c:numCache>
                <c:formatCode>General</c:formatCode>
                <c:ptCount val="10"/>
                <c:pt idx="0">
                  <c:v>7.78</c:v>
                </c:pt>
                <c:pt idx="1">
                  <c:v>5</c:v>
                </c:pt>
                <c:pt idx="2">
                  <c:v>5</c:v>
                </c:pt>
                <c:pt idx="3">
                  <c:v>5</c:v>
                </c:pt>
                <c:pt idx="4">
                  <c:v>7.78</c:v>
                </c:pt>
                <c:pt idx="5">
                  <c:v>5</c:v>
                </c:pt>
                <c:pt idx="6">
                  <c:v>5</c:v>
                </c:pt>
                <c:pt idx="7">
                  <c:v>5</c:v>
                </c:pt>
                <c:pt idx="8">
                  <c:v>5</c:v>
                </c:pt>
                <c:pt idx="9">
                  <c:v>7.78</c:v>
                </c:pt>
              </c:numCache>
            </c:numRef>
          </c:val>
          <c:extLst>
            <c:ext xmlns:c16="http://schemas.microsoft.com/office/drawing/2014/chart" uri="{C3380CC4-5D6E-409C-BE32-E72D297353CC}">
              <c16:uniqueId val="{00000000-C78F-467B-B736-4A5C386DEC39}"/>
            </c:ext>
          </c:extLst>
        </c:ser>
        <c:dLbls>
          <c:showLegendKey val="0"/>
          <c:showVal val="0"/>
          <c:showCatName val="0"/>
          <c:showSerName val="0"/>
          <c:showPercent val="0"/>
          <c:showBubbleSize val="0"/>
        </c:dLbls>
        <c:gapWidth val="219"/>
        <c:overlap val="-27"/>
        <c:axId val="1450977919"/>
        <c:axId val="1450976671"/>
      </c:barChart>
      <c:catAx>
        <c:axId val="145097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76671"/>
        <c:crosses val="autoZero"/>
        <c:auto val="1"/>
        <c:lblAlgn val="ctr"/>
        <c:lblOffset val="100"/>
        <c:noMultiLvlLbl val="0"/>
      </c:catAx>
      <c:valAx>
        <c:axId val="145097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7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Assignment.xlsx]Rship btwn Disc% and reviews!PivotTable4</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US" sz="1000" b="1"/>
              <a:t>Relationship Between Discount Percentage and Number of Reviews</a:t>
            </a:r>
          </a:p>
        </c:rich>
      </c:tx>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'Rship btwn Disc% and reviews'!$B$3</c:f>
              <c:strCache>
                <c:ptCount val="1"/>
                <c:pt idx="0">
                  <c:v>Total</c:v>
                </c:pt>
              </c:strCache>
            </c:strRef>
          </c:tx>
          <c:spPr>
            <a:ln w="28575" cap="rnd">
              <a:solidFill>
                <a:schemeClr val="accent1"/>
              </a:solidFill>
              <a:round/>
            </a:ln>
            <a:effectLst/>
          </c:spPr>
          <c:marker>
            <c:symbol val="none"/>
          </c:marker>
          <c:cat>
            <c:strRef>
              <c:f>'Rship btwn Disc% and reviews'!$A$4:$A$11</c:f>
              <c:strCache>
                <c:ptCount val="7"/>
                <c:pt idx="0">
                  <c:v>0.01-0.11</c:v>
                </c:pt>
                <c:pt idx="1">
                  <c:v>0.11-0.21</c:v>
                </c:pt>
                <c:pt idx="2">
                  <c:v>0.21-0.31</c:v>
                </c:pt>
                <c:pt idx="3">
                  <c:v>0.31-0.41</c:v>
                </c:pt>
                <c:pt idx="4">
                  <c:v>0.41-0.51</c:v>
                </c:pt>
                <c:pt idx="5">
                  <c:v>0.51-0.61</c:v>
                </c:pt>
                <c:pt idx="6">
                  <c:v>0.61-0.71</c:v>
                </c:pt>
              </c:strCache>
            </c:strRef>
          </c:cat>
          <c:val>
            <c:numRef>
              <c:f>'Rship btwn Disc% and reviews'!$B$4:$B$11</c:f>
              <c:numCache>
                <c:formatCode>General</c:formatCode>
                <c:ptCount val="7"/>
                <c:pt idx="0">
                  <c:v>12</c:v>
                </c:pt>
                <c:pt idx="1">
                  <c:v>7</c:v>
                </c:pt>
                <c:pt idx="2">
                  <c:v>13</c:v>
                </c:pt>
                <c:pt idx="3">
                  <c:v>18</c:v>
                </c:pt>
                <c:pt idx="4">
                  <c:v>50</c:v>
                </c:pt>
                <c:pt idx="5">
                  <c:v>10</c:v>
                </c:pt>
                <c:pt idx="6">
                  <c:v>2</c:v>
                </c:pt>
              </c:numCache>
            </c:numRef>
          </c:val>
          <c:smooth val="0"/>
          <c:extLst>
            <c:ext xmlns:c16="http://schemas.microsoft.com/office/drawing/2014/chart" uri="{C3380CC4-5D6E-409C-BE32-E72D297353CC}">
              <c16:uniqueId val="{00000000-8C24-4403-B47A-C614C42C5791}"/>
            </c:ext>
          </c:extLst>
        </c:ser>
        <c:dLbls>
          <c:showLegendKey val="0"/>
          <c:showVal val="0"/>
          <c:showCatName val="0"/>
          <c:showSerName val="0"/>
          <c:showPercent val="0"/>
          <c:showBubbleSize val="0"/>
        </c:dLbls>
        <c:smooth val="0"/>
        <c:axId val="1701451039"/>
        <c:axId val="1701441471"/>
      </c:lineChart>
      <c:catAx>
        <c:axId val="170145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41471"/>
        <c:crosses val="autoZero"/>
        <c:auto val="1"/>
        <c:lblAlgn val="ctr"/>
        <c:lblOffset val="100"/>
        <c:noMultiLvlLbl val="0"/>
      </c:catAx>
      <c:valAx>
        <c:axId val="170144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51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Assignment.xlsx]Rating vs Reviews!PivotTable5</c:name>
    <c:fmtId val="2"/>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a:t>Relationship</a:t>
            </a:r>
            <a:r>
              <a:rPr lang="en-US" sz="1000" baseline="0"/>
              <a:t> between Rating and Number of Reviews</a:t>
            </a:r>
          </a:p>
        </c:rich>
      </c:tx>
      <c:layout>
        <c:manualLayout>
          <c:xMode val="edge"/>
          <c:yMode val="edge"/>
          <c:x val="0.14499603500424568"/>
          <c:y val="0.16363826111156204"/>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'Rating vs Reviews'!$B$3</c:f>
              <c:strCache>
                <c:ptCount val="1"/>
                <c:pt idx="0">
                  <c:v>Total</c:v>
                </c:pt>
              </c:strCache>
            </c:strRef>
          </c:tx>
          <c:spPr>
            <a:ln w="28575" cap="rnd">
              <a:solidFill>
                <a:schemeClr val="accent1"/>
              </a:solidFill>
              <a:round/>
            </a:ln>
            <a:effectLst/>
          </c:spPr>
          <c:marker>
            <c:symbol val="none"/>
          </c:marker>
          <c:cat>
            <c:strRef>
              <c:f>'Rating vs Reviews'!$A$4:$A$27</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3.89</c:v>
                </c:pt>
                <c:pt idx="13">
                  <c:v>4</c:v>
                </c:pt>
                <c:pt idx="14">
                  <c:v>4.1</c:v>
                </c:pt>
                <c:pt idx="15">
                  <c:v>4.2</c:v>
                </c:pt>
                <c:pt idx="16">
                  <c:v>4.3</c:v>
                </c:pt>
                <c:pt idx="17">
                  <c:v>4.4</c:v>
                </c:pt>
                <c:pt idx="18">
                  <c:v>4.5</c:v>
                </c:pt>
                <c:pt idx="19">
                  <c:v>4.6</c:v>
                </c:pt>
                <c:pt idx="20">
                  <c:v>4.7</c:v>
                </c:pt>
                <c:pt idx="21">
                  <c:v>4.8</c:v>
                </c:pt>
                <c:pt idx="22">
                  <c:v>5</c:v>
                </c:pt>
              </c:strCache>
            </c:strRef>
          </c:cat>
          <c:val>
            <c:numRef>
              <c:f>'Rating vs Reviews'!$B$4:$B$27</c:f>
              <c:numCache>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0</c:v>
                </c:pt>
                <c:pt idx="13">
                  <c:v>24</c:v>
                </c:pt>
                <c:pt idx="14">
                  <c:v>46</c:v>
                </c:pt>
                <c:pt idx="15">
                  <c:v>9</c:v>
                </c:pt>
                <c:pt idx="16">
                  <c:v>61</c:v>
                </c:pt>
                <c:pt idx="17">
                  <c:v>14</c:v>
                </c:pt>
                <c:pt idx="18">
                  <c:v>42</c:v>
                </c:pt>
                <c:pt idx="19">
                  <c:v>177</c:v>
                </c:pt>
                <c:pt idx="20">
                  <c:v>78</c:v>
                </c:pt>
                <c:pt idx="21">
                  <c:v>22</c:v>
                </c:pt>
                <c:pt idx="22">
                  <c:v>12</c:v>
                </c:pt>
              </c:numCache>
            </c:numRef>
          </c:val>
          <c:smooth val="0"/>
          <c:extLst>
            <c:ext xmlns:c16="http://schemas.microsoft.com/office/drawing/2014/chart" uri="{C3380CC4-5D6E-409C-BE32-E72D297353CC}">
              <c16:uniqueId val="{00000000-20A5-482D-A5A6-0EFFA833BCAA}"/>
            </c:ext>
          </c:extLst>
        </c:ser>
        <c:dLbls>
          <c:showLegendKey val="0"/>
          <c:showVal val="0"/>
          <c:showCatName val="0"/>
          <c:showSerName val="0"/>
          <c:showPercent val="0"/>
          <c:showBubbleSize val="0"/>
        </c:dLbls>
        <c:smooth val="0"/>
        <c:axId val="1701443551"/>
        <c:axId val="1701450207"/>
      </c:lineChart>
      <c:catAx>
        <c:axId val="170144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50207"/>
        <c:crosses val="autoZero"/>
        <c:auto val="1"/>
        <c:lblAlgn val="ctr"/>
        <c:lblOffset val="100"/>
        <c:noMultiLvlLbl val="0"/>
      </c:catAx>
      <c:valAx>
        <c:axId val="1701450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435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Assignment.xlsx]Disc vs Customer Engagements!PivotTable6</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Discounts vs Customer Engagements</a:t>
            </a:r>
          </a:p>
        </c:rich>
      </c:tx>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'Disc vs Customer Engagements'!$B$3</c:f>
              <c:strCache>
                <c:ptCount val="1"/>
                <c:pt idx="0">
                  <c:v>Total</c:v>
                </c:pt>
              </c:strCache>
            </c:strRef>
          </c:tx>
          <c:spPr>
            <a:solidFill>
              <a:schemeClr val="accent1"/>
            </a:solidFill>
            <a:ln>
              <a:noFill/>
            </a:ln>
            <a:effectLst/>
          </c:spPr>
          <c:invertIfNegative val="0"/>
          <c:cat>
            <c:strRef>
              <c:f>'Disc vs Customer Engagements'!$A$4:$A$14</c:f>
              <c:strCache>
                <c:ptCount val="10"/>
                <c:pt idx="0">
                  <c:v>24-274</c:v>
                </c:pt>
                <c:pt idx="1">
                  <c:v>274-524</c:v>
                </c:pt>
                <c:pt idx="2">
                  <c:v>524-774</c:v>
                </c:pt>
                <c:pt idx="3">
                  <c:v>774-1024</c:v>
                </c:pt>
                <c:pt idx="4">
                  <c:v>1024-1274</c:v>
                </c:pt>
                <c:pt idx="5">
                  <c:v>1274-1524</c:v>
                </c:pt>
                <c:pt idx="6">
                  <c:v>1524-1774</c:v>
                </c:pt>
                <c:pt idx="7">
                  <c:v>1774-2024</c:v>
                </c:pt>
                <c:pt idx="8">
                  <c:v>2274-2524</c:v>
                </c:pt>
                <c:pt idx="9">
                  <c:v>2524-2774</c:v>
                </c:pt>
              </c:strCache>
            </c:strRef>
          </c:cat>
          <c:val>
            <c:numRef>
              <c:f>'Disc vs Customer Engagements'!$B$4:$B$14</c:f>
              <c:numCache>
                <c:formatCode>General</c:formatCode>
                <c:ptCount val="10"/>
                <c:pt idx="0">
                  <c:v>129</c:v>
                </c:pt>
                <c:pt idx="1">
                  <c:v>250</c:v>
                </c:pt>
                <c:pt idx="2">
                  <c:v>200</c:v>
                </c:pt>
                <c:pt idx="3">
                  <c:v>89</c:v>
                </c:pt>
                <c:pt idx="4">
                  <c:v>1</c:v>
                </c:pt>
                <c:pt idx="5">
                  <c:v>12</c:v>
                </c:pt>
                <c:pt idx="6">
                  <c:v>14</c:v>
                </c:pt>
                <c:pt idx="7">
                  <c:v>3</c:v>
                </c:pt>
                <c:pt idx="8">
                  <c:v>12</c:v>
                </c:pt>
                <c:pt idx="9">
                  <c:v>13</c:v>
                </c:pt>
              </c:numCache>
            </c:numRef>
          </c:val>
          <c:extLst>
            <c:ext xmlns:c16="http://schemas.microsoft.com/office/drawing/2014/chart" uri="{C3380CC4-5D6E-409C-BE32-E72D297353CC}">
              <c16:uniqueId val="{00000000-FC09-4067-86A7-52D544AD7032}"/>
            </c:ext>
          </c:extLst>
        </c:ser>
        <c:dLbls>
          <c:showLegendKey val="0"/>
          <c:showVal val="0"/>
          <c:showCatName val="0"/>
          <c:showSerName val="0"/>
          <c:showPercent val="0"/>
          <c:showBubbleSize val="0"/>
        </c:dLbls>
        <c:gapWidth val="219"/>
        <c:overlap val="-27"/>
        <c:axId val="1386391647"/>
        <c:axId val="1386395391"/>
      </c:barChart>
      <c:catAx>
        <c:axId val="138639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95391"/>
        <c:crosses val="autoZero"/>
        <c:auto val="1"/>
        <c:lblAlgn val="ctr"/>
        <c:lblOffset val="100"/>
        <c:noMultiLvlLbl val="0"/>
      </c:catAx>
      <c:valAx>
        <c:axId val="138639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9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Assignment.xlsx]High rated Products vs Reviews!PivotTable7</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Number</a:t>
            </a:r>
            <a:r>
              <a:rPr lang="en-US" sz="900" baseline="0"/>
              <a:t> of Reviews vs Rating Category</a:t>
            </a:r>
          </a:p>
        </c:rich>
      </c:tx>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'High rated Products vs Reviews'!$B$3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A1-4906-9168-A89DD1ADB6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A1-4906-9168-A89DD1ADB6F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A1-4906-9168-A89DD1ADB6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'High rated Products vs Reviews'!$A$4:$A$7</c:f>
              <c:strCache>
                <c:ptCount val="3"/>
                <c:pt idx="0">
                  <c:v>Average</c:v>
                </c:pt>
                <c:pt idx="1">
                  <c:v>Excellent</c:v>
                </c:pt>
                <c:pt idx="2">
                  <c:v>Poor</c:v>
                </c:pt>
              </c:strCache>
            </c:strRef>
          </c:cat>
          <c:val>
            <c:numRef>
              <c:f>'High rated Products vs Reviews'!$B$4:$B$7</c:f>
              <c:numCache>
                <c:formatCode>General</c:formatCode>
                <c:ptCount val="3"/>
                <c:pt idx="0">
                  <c:v>223</c:v>
                </c:pt>
                <c:pt idx="1">
                  <c:v>331</c:v>
                </c:pt>
                <c:pt idx="2">
                  <c:v>169</c:v>
                </c:pt>
              </c:numCache>
            </c:numRef>
          </c:val>
          <c:extLst>
            <c:ext xmlns:c16="http://schemas.microsoft.com/office/drawing/2014/chart" uri="{C3380CC4-5D6E-409C-BE32-E72D297353CC}">
              <c16:uniqueId val="{00000006-EDA1-4906-9168-A89DD1ADB6F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Assignment.xlsx]Top 10 disc!PivotTable8</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Top</a:t>
            </a:r>
            <a:r>
              <a:rPr lang="en-US" sz="900" baseline="0"/>
              <a:t> 10 Products with Highest Discounts</a:t>
            </a:r>
          </a:p>
        </c:rich>
      </c:tx>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'Top 10 disc'!$B$3</c:f>
              <c:strCache>
                <c:ptCount val="1"/>
                <c:pt idx="0">
                  <c:v>Total</c:v>
                </c:pt>
              </c:strCache>
            </c:strRef>
          </c:tx>
          <c:spPr>
            <a:solidFill>
              <a:schemeClr val="accent1"/>
            </a:solidFill>
            <a:ln>
              <a:noFill/>
            </a:ln>
            <a:effectLst/>
          </c:spPr>
          <c:invertIfNegative val="0"/>
          <c:cat>
            <c:strRef>
              <c:f>'Top 10 disc'!$A$4:$A$14</c:f>
              <c:strCache>
                <c:ptCount val="10"/>
                <c:pt idx="0">
                  <c:v>Creative Owl Shape Keychain Black</c:v>
                </c:pt>
                <c:pt idx="1">
                  <c:v>Simple Metal Dog Art Sculpture Decoration For Home Office</c:v>
                </c:pt>
                <c:pt idx="2">
                  <c:v>Angle Measuring Tool Full Metal Multi Angle Measuring Tool</c:v>
                </c:pt>
                <c:pt idx="3">
                  <c:v>6 In 1 Bottle Can Opener Multifunctional Easy Opener</c:v>
                </c:pt>
                <c:pt idx="4">
                  <c:v>LASA FOLDING TABLE SERVING STAND</c:v>
                </c:pt>
                <c:pt idx="5">
                  <c:v>5PCS Stainless Steel Cooking Pot Set With Steamed Slices</c:v>
                </c:pt>
                <c:pt idx="6">
                  <c:v>LASA 3 Tier Bamboo Shoe Bench Storage Shelf</c:v>
                </c:pt>
                <c:pt idx="7">
                  <c:v>Mythco 120COB Solar Wall Ligt With Motion Sensor And Remote Control 3 Modes</c:v>
                </c:pt>
                <c:pt idx="8">
                  <c:v>3PCS Single Head Knitting Crochet Sweater Needle Set</c:v>
                </c:pt>
                <c:pt idx="9">
                  <c:v>Classic Black Cat Cotton Hemp Pillow Case For Home Car</c:v>
                </c:pt>
              </c:strCache>
            </c:strRef>
          </c:cat>
          <c:val>
            <c:numRef>
              <c:f>'Top 10 disc'!$B$4:$B$14</c:f>
              <c:numCache>
                <c:formatCode>General</c:formatCode>
                <c:ptCount val="10"/>
                <c:pt idx="0">
                  <c:v>1.1000000000000001</c:v>
                </c:pt>
                <c:pt idx="1">
                  <c:v>1</c:v>
                </c:pt>
                <c:pt idx="2">
                  <c:v>0.98</c:v>
                </c:pt>
                <c:pt idx="3">
                  <c:v>0.64</c:v>
                </c:pt>
                <c:pt idx="4">
                  <c:v>0.55000000000000004</c:v>
                </c:pt>
                <c:pt idx="5">
                  <c:v>0.55000000000000004</c:v>
                </c:pt>
                <c:pt idx="6">
                  <c:v>0.54</c:v>
                </c:pt>
                <c:pt idx="7">
                  <c:v>0.54</c:v>
                </c:pt>
                <c:pt idx="8">
                  <c:v>0.53</c:v>
                </c:pt>
                <c:pt idx="9">
                  <c:v>0.53</c:v>
                </c:pt>
              </c:numCache>
            </c:numRef>
          </c:val>
          <c:extLst>
            <c:ext xmlns:c16="http://schemas.microsoft.com/office/drawing/2014/chart" uri="{C3380CC4-5D6E-409C-BE32-E72D297353CC}">
              <c16:uniqueId val="{00000000-D66C-4ABD-A4E5-497C07363C5D}"/>
            </c:ext>
          </c:extLst>
        </c:ser>
        <c:dLbls>
          <c:showLegendKey val="0"/>
          <c:showVal val="0"/>
          <c:showCatName val="0"/>
          <c:showSerName val="0"/>
          <c:showPercent val="0"/>
          <c:showBubbleSize val="0"/>
        </c:dLbls>
        <c:gapWidth val="182"/>
        <c:axId val="1701455199"/>
        <c:axId val="1701447711"/>
      </c:barChart>
      <c:catAx>
        <c:axId val="170145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47711"/>
        <c:crosses val="autoZero"/>
        <c:auto val="1"/>
        <c:lblAlgn val="ctr"/>
        <c:lblOffset val="100"/>
        <c:noMultiLvlLbl val="0"/>
      </c:catAx>
      <c:valAx>
        <c:axId val="1701447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551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Assignment.xlsx]Top 10 by reviews!PivotTable9</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Top</a:t>
            </a:r>
            <a:r>
              <a:rPr lang="en-US" sz="900" baseline="0"/>
              <a:t> 10 Products by Review</a:t>
            </a:r>
            <a:endParaRPr lang="en-US" sz="900"/>
          </a:p>
        </c:rich>
      </c:tx>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'Top 10 by reviews'!$B$3</c:f>
              <c:strCache>
                <c:ptCount val="1"/>
                <c:pt idx="0">
                  <c:v>Total</c:v>
                </c:pt>
              </c:strCache>
            </c:strRef>
          </c:tx>
          <c:spPr>
            <a:solidFill>
              <a:schemeClr val="accent1"/>
            </a:solidFill>
            <a:ln>
              <a:noFill/>
            </a:ln>
            <a:effectLst/>
          </c:spPr>
          <c:invertIfNegative val="0"/>
          <c:cat>
            <c:strRef>
              <c:f>'Top 10 by 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Pansies</c:v>
                </c:pt>
                <c:pt idx="7">
                  <c:v>Portable Mini Cordless Car Vacuum Cleaner  Blue</c:v>
                </c:pt>
                <c:pt idx="8">
                  <c:v>53Pcs/Set Yarn Knitting Crochet Hooks With Bag  Fortune Cat</c:v>
                </c:pt>
                <c:pt idx="9">
                  <c:v>52 Pieces Cake Decorating Tool Set Gift Kit Baking Supplies</c:v>
                </c:pt>
              </c:strCache>
            </c:strRef>
          </c:cat>
          <c:val>
            <c:numRef>
              <c:f>'Top 10 by 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B711-4F08-A9F8-909543BE5035}"/>
            </c:ext>
          </c:extLst>
        </c:ser>
        <c:dLbls>
          <c:showLegendKey val="0"/>
          <c:showVal val="0"/>
          <c:showCatName val="0"/>
          <c:showSerName val="0"/>
          <c:showPercent val="0"/>
          <c:showBubbleSize val="0"/>
        </c:dLbls>
        <c:gapWidth val="219"/>
        <c:overlap val="-27"/>
        <c:axId val="1696101695"/>
        <c:axId val="1696102527"/>
      </c:barChart>
      <c:catAx>
        <c:axId val="16961016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102527"/>
        <c:crosses val="autoZero"/>
        <c:auto val="1"/>
        <c:lblAlgn val="ctr"/>
        <c:lblOffset val="100"/>
        <c:noMultiLvlLbl val="0"/>
      </c:catAx>
      <c:valAx>
        <c:axId val="169610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10169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[Cherock Jumia Assignment.xlsx]Top 10 Rating!PivotTable10</c:name>
    <c:fmtId val="2"/>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r>
              <a:rPr lang="en-US" sz="900"/>
              <a:t>Top</a:t>
            </a:r>
            <a:r>
              <a:rPr lang="en-US" sz="900" baseline="0"/>
              <a:t> 10 Products by Rating</a:t>
            </a:r>
          </a:p>
        </c:rich>
      </c:tx>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'Top 10 Rating'!$B$3</c:f>
              <c:strCache>
                <c:ptCount val="1"/>
                <c:pt idx="0">
                  <c:v>Total</c:v>
                </c:pt>
              </c:strCache>
            </c:strRef>
          </c:tx>
          <c:spPr>
            <a:solidFill>
              <a:schemeClr val="accent1"/>
            </a:solidFill>
            <a:ln>
              <a:noFill/>
            </a:ln>
            <a:effectLst/>
          </c:spPr>
          <c:invertIfNegative val="0"/>
          <c:cat>
            <c:strRef>
              <c:f>'Top 10 Rating'!$A$4:$A$14</c:f>
              <c:strCache>
                <c:ptCount val="10"/>
                <c:pt idx="0">
                  <c:v>Angle Measuring Tool Full Metal Multi Angle Measuring Tool</c:v>
                </c:pt>
                <c:pt idx="1">
                  <c:v>AntiSkid Absorbent Insulation Coaster  For Home Office</c:v>
                </c:pt>
                <c:pt idx="2">
                  <c:v>Bedroom Simple Floor Hanging Clothes Rack Single Pole Hat Rack  White</c:v>
                </c:pt>
                <c:pt idx="3">
                  <c:v>Classic Black Cat Cotton Hemp Pillow Case For Home Car</c:v>
                </c:pt>
                <c:pt idx="4">
                  <c:v>Creative Owl Shape Keychain Black</c:v>
                </c:pt>
                <c:pt idx="5">
                  <c:v>DIY File Folder, Office Drawer File Holder, Pen Holder, Desktop Storage Rack</c:v>
                </c:pt>
                <c:pt idx="6">
                  <c:v>Konka Healty Electric Kettle, 24hour Heat Preservation,1.5L,800W, White</c:v>
                </c:pt>
                <c:pt idx="7">
                  <c:v>LASA Aluminum Folding Truck Hand Cart  68kg Max</c:v>
                </c:pt>
                <c:pt idx="8">
                  <c:v>Peacock  Throw Pillow Cushion Case For Home Car</c:v>
                </c:pt>
                <c:pt idx="9">
                  <c:v>Simple Metal Dog Art Sculpture Decoration For Home Office</c:v>
                </c:pt>
              </c:strCache>
            </c:strRef>
          </c:cat>
          <c:val>
            <c:numRef>
              <c:f>'Top 10 Rating'!$B$4:$B$14</c:f>
              <c:numCache>
                <c:formatCode>General</c:formatCode>
                <c:ptCount val="10"/>
                <c:pt idx="0">
                  <c:v>7.78</c:v>
                </c:pt>
                <c:pt idx="1">
                  <c:v>5</c:v>
                </c:pt>
                <c:pt idx="2">
                  <c:v>5</c:v>
                </c:pt>
                <c:pt idx="3">
                  <c:v>5</c:v>
                </c:pt>
                <c:pt idx="4">
                  <c:v>7.78</c:v>
                </c:pt>
                <c:pt idx="5">
                  <c:v>5</c:v>
                </c:pt>
                <c:pt idx="6">
                  <c:v>5</c:v>
                </c:pt>
                <c:pt idx="7">
                  <c:v>5</c:v>
                </c:pt>
                <c:pt idx="8">
                  <c:v>5</c:v>
                </c:pt>
                <c:pt idx="9">
                  <c:v>7.78</c:v>
                </c:pt>
              </c:numCache>
            </c:numRef>
          </c:val>
          <c:extLst>
            <c:ext xmlns:c16="http://schemas.microsoft.com/office/drawing/2014/chart" uri="{C3380CC4-5D6E-409C-BE32-E72D297353CC}">
              <c16:uniqueId val="{00000000-B535-45BB-820D-923226972EF9}"/>
            </c:ext>
          </c:extLst>
        </c:ser>
        <c:dLbls>
          <c:showLegendKey val="0"/>
          <c:showVal val="0"/>
          <c:showCatName val="0"/>
          <c:showSerName val="0"/>
          <c:showPercent val="0"/>
          <c:showBubbleSize val="0"/>
        </c:dLbls>
        <c:gapWidth val="219"/>
        <c:overlap val="-27"/>
        <c:axId val="1450977919"/>
        <c:axId val="1450976671"/>
      </c:barChart>
      <c:catAx>
        <c:axId val="145097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76671"/>
        <c:crosses val="autoZero"/>
        <c:auto val="1"/>
        <c:lblAlgn val="ctr"/>
        <c:lblOffset val="100"/>
        <c:noMultiLvlLbl val="0"/>
      </c:catAx>
      <c:valAx>
        <c:axId val="145097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09779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7</xdr:row>
      <xdr:rowOff>63501</xdr:rowOff>
    </xdr:from>
    <xdr:to>
      <xdr:col>1</xdr:col>
      <xdr:colOff>1028700</xdr:colOff>
      <xdr:row>13</xdr:row>
      <xdr:rowOff>171451</xdr:rowOff>
    </xdr:to>
    <mc:AlternateContent xmlns:mc="http://schemas.openxmlformats.org/markup-compatibility/2006" xmlns:a14="http://schemas.microsoft.com/office/drawing/2010/main">
      <mc:Choice Requires="a14">
        <xdr:graphicFrame macro="">
          <xdr:nvGraphicFramePr>
            <xdr:cNvPr id="2" name="Discount Category"/>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63500" y="1352551"/>
              <a:ext cx="1828800" cy="1212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88900</xdr:colOff>
      <xdr:row>1</xdr:row>
      <xdr:rowOff>44451</xdr:rowOff>
    </xdr:from>
    <xdr:to>
      <xdr:col>5</xdr:col>
      <xdr:colOff>88900</xdr:colOff>
      <xdr:row>8</xdr:row>
      <xdr:rowOff>31751</xdr:rowOff>
    </xdr:to>
    <mc:AlternateContent xmlns:mc="http://schemas.openxmlformats.org/markup-compatibility/2006" xmlns:a14="http://schemas.microsoft.com/office/drawing/2010/main">
      <mc:Choice Requires="a14">
        <xdr:graphicFrame macro="">
          <xdr:nvGraphicFramePr>
            <xdr:cNvPr id="2" name="Rating Category"/>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019300" y="228601"/>
              <a:ext cx="1828800"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11</xdr:row>
      <xdr:rowOff>85725</xdr:rowOff>
    </xdr:from>
    <xdr:to>
      <xdr:col>6</xdr:col>
      <xdr:colOff>257175</xdr:colOff>
      <xdr:row>26</xdr:row>
      <xdr:rowOff>66675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82550</xdr:colOff>
      <xdr:row>2</xdr:row>
      <xdr:rowOff>71438</xdr:rowOff>
    </xdr:from>
    <xdr:to>
      <xdr:col>9</xdr:col>
      <xdr:colOff>384175</xdr:colOff>
      <xdr:row>17</xdr:row>
      <xdr:rowOff>53975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26988</xdr:colOff>
      <xdr:row>2</xdr:row>
      <xdr:rowOff>174625</xdr:rowOff>
    </xdr:from>
    <xdr:to>
      <xdr:col>9</xdr:col>
      <xdr:colOff>328613</xdr:colOff>
      <xdr:row>17</xdr:row>
      <xdr:rowOff>157162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669925</xdr:colOff>
      <xdr:row>9</xdr:row>
      <xdr:rowOff>15875</xdr:rowOff>
    </xdr:from>
    <xdr:to>
      <xdr:col>7</xdr:col>
      <xdr:colOff>415925</xdr:colOff>
      <xdr:row>23</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276225</xdr:colOff>
      <xdr:row>14</xdr:row>
      <xdr:rowOff>79375</xdr:rowOff>
    </xdr:from>
    <xdr:to>
      <xdr:col>0</xdr:col>
      <xdr:colOff>4848225</xdr:colOff>
      <xdr:row>29</xdr:row>
      <xdr:rowOff>60325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1673225</xdr:colOff>
      <xdr:row>9</xdr:row>
      <xdr:rowOff>15875</xdr:rowOff>
    </xdr:from>
    <xdr:to>
      <xdr:col>3</xdr:col>
      <xdr:colOff>517525</xdr:colOff>
      <xdr:row>23</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669925</xdr:colOff>
      <xdr:row>9</xdr:row>
      <xdr:rowOff>15875</xdr:rowOff>
    </xdr:from>
    <xdr:to>
      <xdr:col>1</xdr:col>
      <xdr:colOff>739775</xdr:colOff>
      <xdr:row>23</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515055</xdr:colOff>
      <xdr:row>0</xdr:row>
      <xdr:rowOff>42332</xdr:rowOff>
    </xdr:from>
    <xdr:to>
      <xdr:col>8</xdr:col>
      <xdr:colOff>529166</xdr:colOff>
      <xdr:row>2</xdr:row>
      <xdr:rowOff>162276</xdr:rowOff>
    </xdr:to>
    <xdr:sp macro="" textlink="">
      <xdr:nvSpPr>
        <xdr:cNvPr id="2" name="Rounded Rectangle 1"/>
        <xdr:cNvSpPr/>
      </xdr:nvSpPr>
      <xdr:spPr>
        <a:xfrm>
          <a:off x="515055" y="42332"/>
          <a:ext cx="6307667" cy="48683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Jumia</a:t>
          </a:r>
          <a:r>
            <a:rPr lang="en-US" sz="2400" b="1" baseline="0"/>
            <a:t> Product Perfomance Dashboard</a:t>
          </a:r>
          <a:endParaRPr lang="en-US" sz="2400" b="1"/>
        </a:p>
      </xdr:txBody>
    </xdr:sp>
    <xdr:clientData/>
  </xdr:twoCellAnchor>
  <xdr:twoCellAnchor editAs="oneCell">
    <xdr:from>
      <xdr:col>0</xdr:col>
      <xdr:colOff>0</xdr:colOff>
      <xdr:row>5</xdr:row>
      <xdr:rowOff>35278</xdr:rowOff>
    </xdr:from>
    <xdr:to>
      <xdr:col>1</xdr:col>
      <xdr:colOff>578555</xdr:colOff>
      <xdr:row>11</xdr:row>
      <xdr:rowOff>147461</xdr:rowOff>
    </xdr:to>
    <mc:AlternateContent xmlns:mc="http://schemas.openxmlformats.org/markup-compatibility/2006" xmlns:a14="http://schemas.microsoft.com/office/drawing/2010/main">
      <mc:Choice Requires="a14">
        <xdr:graphicFrame macro="">
          <xdr:nvGraphicFramePr>
            <xdr:cNvPr id="9" name="Discount Category 1"/>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0" y="956028"/>
              <a:ext cx="1188155" cy="1217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1</xdr:col>
      <xdr:colOff>571500</xdr:colOff>
      <xdr:row>18</xdr:row>
      <xdr:rowOff>175683</xdr:rowOff>
    </xdr:to>
    <mc:AlternateContent xmlns:mc="http://schemas.openxmlformats.org/markup-compatibility/2006" xmlns:a14="http://schemas.microsoft.com/office/drawing/2010/main">
      <mc:Choice Requires="a14">
        <xdr:graphicFrame macro="">
          <xdr:nvGraphicFramePr>
            <xdr:cNvPr id="10" name="Rating Category 1"/>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0" y="2209800"/>
              <a:ext cx="1181100" cy="1280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585611</xdr:colOff>
      <xdr:row>26</xdr:row>
      <xdr:rowOff>8467</xdr:rowOff>
    </xdr:from>
    <xdr:to>
      <xdr:col>4</xdr:col>
      <xdr:colOff>6350</xdr:colOff>
      <xdr:row>36</xdr:row>
      <xdr:rowOff>101600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327782</xdr:colOff>
      <xdr:row>15</xdr:row>
      <xdr:rowOff>122769</xdr:rowOff>
    </xdr:from>
    <xdr:to>
      <xdr:col>11</xdr:col>
      <xdr:colOff>400050</xdr:colOff>
      <xdr:row>25</xdr:row>
      <xdr:rowOff>146051</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52614</xdr:colOff>
      <xdr:row>15</xdr:row>
      <xdr:rowOff>113493</xdr:rowOff>
    </xdr:from>
    <xdr:to>
      <xdr:col>7</xdr:col>
      <xdr:colOff>298450</xdr:colOff>
      <xdr:row>25</xdr:row>
      <xdr:rowOff>152400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597405</xdr:colOff>
      <xdr:row>15</xdr:row>
      <xdr:rowOff>109159</xdr:rowOff>
    </xdr:from>
    <xdr:to>
      <xdr:col>4</xdr:col>
      <xdr:colOff>6351</xdr:colOff>
      <xdr:row>25</xdr:row>
      <xdr:rowOff>152400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337457</xdr:colOff>
      <xdr:row>5</xdr:row>
      <xdr:rowOff>24493</xdr:rowOff>
    </xdr:from>
    <xdr:to>
      <xdr:col>11</xdr:col>
      <xdr:colOff>387350</xdr:colOff>
      <xdr:row>15</xdr:row>
      <xdr:rowOff>82551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607785</xdr:colOff>
      <xdr:row>5</xdr:row>
      <xdr:rowOff>27214</xdr:rowOff>
    </xdr:from>
    <xdr:to>
      <xdr:col>4</xdr:col>
      <xdr:colOff>6350</xdr:colOff>
      <xdr:row>15</xdr:row>
      <xdr:rowOff>82550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49894</xdr:colOff>
      <xdr:row>5</xdr:row>
      <xdr:rowOff>20865</xdr:rowOff>
    </xdr:from>
    <xdr:to>
      <xdr:col>7</xdr:col>
      <xdr:colOff>298450</xdr:colOff>
      <xdr:row>15</xdr:row>
      <xdr:rowOff>82550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10.096985069446" createdVersion="6" refreshedVersion="6" minRefreshableVersion="3" recordCount="112">
  <cacheSource type="worksheet">
    <worksheetSource ref="A1:I113" sheet="Excel_jumia (1)"/>
  </cacheSource>
  <cacheFields count="9">
    <cacheField name="Product" numFmtId="49">
      <sharedItems count="109">
        <s v="AntiSkid Absorbent Insulation Coaster  For Home Office"/>
        <s v="Peacock  Throw Pillow Cushion Case For Home Car"/>
        <s v="LASA Aluminum Folding Truck Hand Cart  68kg Max"/>
        <s v="DIY File Folder, Office Drawer File Holder, Pen Holder, Desktop Storage Rack"/>
        <s v="Classic Black Cat Cotton Hemp Pillow Case For Home Car"/>
        <s v="Bedroom Simple Floor Hanging Clothes Rack Single Pole Hat Rack  White"/>
        <s v="Konka Healty Electric Kettle, 24hour Heat Preservation,1.5L,800W, White"/>
        <s v="Portable Home Small Air Humidifier 3Speed Fan  Green"/>
        <s v="LASA FOLDING TABLE SERVING STAND"/>
        <s v="40cm Gold DIY Acrylic Wall Sticker Clock"/>
        <s v="Weighing Scale Digital Bathroom Body Fat Scale USBBlack"/>
        <s v="100 Pcs Crochet Hook Tool Set Knitting Hook Set With Box"/>
        <s v="12 Litre Insulated Lunch Box Grey"/>
        <s v="53Pcs/Set Yarn Knitting Crochet Hooks With Bag  Fortune Cat"/>
        <s v="Portable Mini Cordless Car Vacuum Cleaner  Blue"/>
        <s v="137 Pieces Cake Decorating Tool Set Baking Supplies"/>
        <s v="LED Wall Digital Alarm Clock Study Home 12 / 24H Clock Calendar"/>
        <s v="3D Waterproof EVA Plastic Shower Curtain 1.8*2Mtrs"/>
        <s v="Electronic Digital Display Vernier Caliper"/>
        <s v="115  Piece Set Of Multifunctional Precision Screwdrivers"/>
        <s v="LASA Digital Thermometer And Hydrometer"/>
        <s v="53 Pieces/Set Yarn Knitting Crochet Hooks With Bag  Pansies"/>
        <s v="1/2/3 Seater Elastic Sofa Cover,Living Room/Home Decor Chair CoverGrey"/>
        <s v="Foldable Overbed Table/Desk"/>
        <s v="LASA 3 Tier Bamboo Shoe Bench Storage Shelf"/>
        <s v="Exfoliate And Exfoliate Face Towel  Black"/>
        <s v="LED Eye Protection  Desk Lamp , Study, Reading, USB Fan  Double Pen Holder"/>
        <s v="Punchfree Great Load Bearing Bathroom Storage Rack Wall ShelfWhite"/>
        <s v="Multifunction Laser Level With Adjustment Tripod"/>
        <s v="Metal Decorative Hooks Key Hangers Entryway Wall Hooks Towel Hooks  Home"/>
        <s v="Genebre 115 In 1 Screwdriver Repairing Tool Set For IPhone Cellphone Hand Tool"/>
        <s v="52 Pieces Cake Decorating Tool Set Gift Kit Baking Supplies"/>
        <s v="220V 60W Electric Soldering Iron Kits With Tools, Tips, And Multimeter"/>
        <s v="Desk Foldable Fan Adjustable Fan Strong Wind 3 Gear Usb"/>
        <s v="LED Romantic Spaceship Starry Sky Projector,Children's Bedroom Night LightBlue"/>
        <s v="Household Pineapple Peeler Peeler"/>
        <s v="4pcs Bathroom/Kitchen Towel Rack,Roll Paper Holder,Towel Bars,Hook"/>
        <s v="MultiFunctional Storage Rack Multilayer Bookshelf"/>
        <s v="LASA Stainless Steel Double Wall Mount Soap Dispenser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UK  Yellow/Black"/>
        <s v="2PCS/LOT Solar LED Outdoor Intelligent Light Controlled Wall Lamp"/>
        <s v="3PCS Rotary Scraper Thermomix For Kitchen"/>
        <s v="Cushion Silicone Butt Cushion Summer Ice Cushion Honeycomb Gel Cushion"/>
        <s v="7PCS Silicone Thumb Knife Finger Protector Vegetable Harvesting Knife"/>
        <s v="5m Waterproof Spherical LED String Lights Outdoor Ball Chain Lights Party Lighting Decoration Adjustable"/>
        <s v="2 Pairs Cowhide Split Leather Work Gloves.32â„‰ Or Above Welding Gloves"/>
        <s v="Office Chair Lumbar Back Support Spine Posture Correction Pillow Car Cushion"/>
        <s v="Cartoon Car Decoration Cute Individuality For Car Home Desk"/>
        <s v="Outdoor Portable Water Bottle With Medicine Box  600ML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Black Simple Water Cup Wine Coaster Anti Slip Absorbent"/>
        <s v="13 In 1 Home Repair Tools Box Kit Set"/>
        <s v="Portable Wardrobe Nonwoven With 3 Hanging Rods And 6 Storage Shelves"/>
        <s v="12 Litre Black Insulated Lunch Box"/>
        <s v="3PCS Single Head Knitting Crochet Sweater Needle Set"/>
        <s v="Mythco 120COB Solar Wall Ligt With Motion Sensor And Remote Control 3 Modes"/>
        <s v="32PCS Portable Cordless Drill Set With Cyclic Battery Drive 26 Variable Speed"/>
        <s v="Large Lazy Inflatable Sofa Chairs PVC Lounger Seat Bag"/>
        <s v="Wrought Iron Bathroom Shelf Wall Mounted Free Punch Toilet Rack"/>
        <s v="Memory Foam Neck Pillow Cover, With Pillow Core  50*30cm"/>
        <s v="VIC Wireless Vacuum Cleaner Dual Use For Home And Car 120W High Power Powerful"/>
        <s v="120W Cordless Vacuum Cleaners Handheld Electric Vacuum Cleaner"/>
        <s v="Intelligent  LED Body Sensor Wireless Lighting Night Light USB"/>
        <s v="Agapeon Toothbrush Holder And Toothpaste Dispenser"/>
        <s v="5 Pieces/set Of Stainless Steel Induction Cooker Pots"/>
        <s v="380ML USB Rechargeable Portable Small Blenders And Juicers"/>
        <s v="Watercolour Gold Foil Textured Print Pillow Cover"/>
        <s v="Artificial Potted Flowers Room Decorative Flowers (2 Pieces)"/>
        <s v="7piece Set Of Storage Bags, Travel Storage Bags, Shoe Bags"/>
        <s v="5PCS Stainless Steel Cooking Pot Set With Steamed Slices"/>
        <s v="Electric LED UV Mosquito Killer Lamp, Outdoor/Indoor Fly Killer Trap Light USB"/>
        <s v="Wallmounted Sticker Punchfree Plug Fixer"/>
      </sharedItems>
    </cacheField>
    <cacheField name="Current price" numFmtId="164">
      <sharedItems containsSemiMixedTypes="0" containsString="0" containsNumber="1" minValue="38" maxValue="3750"/>
    </cacheField>
    <cacheField name=" Old price" numFmtId="164">
      <sharedItems containsSemiMixedTypes="0" containsString="0" containsNumber="1" minValue="80" maxValue="6143"/>
    </cacheField>
    <cacheField name="Discount Amt" numFmtId="164">
      <sharedItems containsSemiMixedTypes="0" containsString="0" containsNumber="1" minValue="24" maxValue="2585" count="104">
        <n v="352"/>
        <n v="165"/>
        <n v="1946"/>
        <n v="1070"/>
        <n v="189"/>
        <n v="941"/>
        <n v="948"/>
        <n v="616"/>
        <n v="1526"/>
        <n v="483"/>
        <n v="919"/>
        <n v="510"/>
        <n v="710"/>
        <n v="724"/>
        <n v="713"/>
        <n v="700"/>
        <n v="968"/>
        <n v="227"/>
        <n v="571.11"/>
        <n v="359"/>
        <n v="719"/>
        <n v="900"/>
        <n v="496.1099999999999"/>
        <n v="2452"/>
        <n v="197"/>
        <n v="1670"/>
        <n v="267"/>
        <n v="819"/>
        <n v="472"/>
        <n v="200"/>
        <n v="741"/>
        <n v="291"/>
        <n v="592"/>
        <n v="470.00000000000011"/>
        <n v="317"/>
        <n v="1360"/>
        <n v="1880"/>
        <n v="1721"/>
        <n v="456"/>
        <n v="238"/>
        <n v="450"/>
        <n v="37"/>
        <n v="1001"/>
        <n v="595"/>
        <n v="645"/>
        <n v="750"/>
        <n v="305"/>
        <n v="301"/>
        <n v="39"/>
        <n v="85"/>
        <n v="40"/>
        <n v="544"/>
        <n v="401"/>
        <n v="644"/>
        <n v="768"/>
        <n v="1011"/>
        <n v="497"/>
        <n v="695"/>
        <n v="67"/>
        <n v="220"/>
        <n v="830"/>
        <n v="33"/>
        <n v="169"/>
        <n v="233"/>
        <n v="263"/>
        <n v="101"/>
        <n v="631"/>
        <n v="231"/>
        <n v="470"/>
        <n v="850"/>
        <n v="1200"/>
        <n v="95"/>
        <n v="800"/>
        <n v="134"/>
        <n v="153"/>
        <n v="504"/>
        <n v="794"/>
        <n v="1000"/>
        <n v="24"/>
        <n v="62"/>
        <n v="587"/>
        <n v="620"/>
        <n v="41"/>
        <n v="31"/>
        <n v="354"/>
        <n v="151"/>
        <n v="1329"/>
        <n v="640"/>
        <n v="42"/>
        <n v="528"/>
        <n v="2393"/>
        <n v="940"/>
        <n v="390"/>
        <n v="1010"/>
        <n v="335"/>
        <n v="428"/>
        <n v="355"/>
        <n v="318"/>
        <n v="330"/>
        <n v="257"/>
        <n v="824"/>
        <n v="846"/>
        <n v="2585"/>
        <n v="1418"/>
      </sharedItems>
      <fieldGroup base="3">
        <rangePr startNum="24" endNum="2585" groupInterval="250"/>
        <groupItems count="13">
          <s v="&lt;24"/>
          <s v="24-274"/>
          <s v="274-524"/>
          <s v="524-774"/>
          <s v="774-1024"/>
          <s v="1024-1274"/>
          <s v="1274-1524"/>
          <s v="1524-1774"/>
          <s v="1774-2024"/>
          <s v="2024-2274"/>
          <s v="2274-2524"/>
          <s v="2524-2774"/>
          <s v="&gt;2774"/>
        </groupItems>
      </fieldGroup>
    </cacheField>
    <cacheField name="Discount" numFmtId="9">
      <sharedItems containsSemiMixedTypes="0" containsString="0" containsNumber="1" minValue="0.01" maxValue="0.64" count="46">
        <n v="0.51"/>
        <n v="0.46"/>
        <n v="0.49"/>
        <n v="0.4"/>
        <n v="0.53"/>
        <n v="0.21"/>
        <n v="0.26"/>
        <n v="0.55000000000000004"/>
        <n v="0.47"/>
        <n v="0.37"/>
        <n v="0.34"/>
        <n v="0.27"/>
        <n v="0.25"/>
        <n v="0.24"/>
        <n v="0.19"/>
        <n v="0.35"/>
        <n v="0.38"/>
        <n v="0.42"/>
        <n v="0.23"/>
        <n v="0.54"/>
        <n v="0.52"/>
        <n v="0.48"/>
        <n v="0.41"/>
        <n v="0.33"/>
        <n v="0.2"/>
        <n v="0.3"/>
        <n v="0.09"/>
        <n v="0.5"/>
        <n v="0.02"/>
        <n v="0.61"/>
        <n v="0.22"/>
        <n v="0.03"/>
        <n v="0.45"/>
        <n v="0.43"/>
        <n v="0.04"/>
        <n v="0.36"/>
        <n v="0.14000000000000001"/>
        <n v="0.11"/>
        <n v="0.08"/>
        <n v="0.01"/>
        <n v="0.64"/>
        <n v="0.18"/>
        <n v="0.32"/>
        <n v="0.39"/>
        <n v="0.28999999999999998"/>
        <n v="0.13"/>
      </sharedItems>
      <fieldGroup base="4">
        <rangePr startNum="0.01" endNum="0.64" groupInterval="0.1"/>
        <groupItems count="9">
          <s v="&lt;0.01"/>
          <s v="0.01-0.11"/>
          <s v="0.11-0.21"/>
          <s v="0.21-0.31"/>
          <s v="0.31-0.41"/>
          <s v="0.41-0.51"/>
          <s v="0.51-0.61"/>
          <s v="0.61-0.71"/>
          <s v="&gt;0.71"/>
        </groupItems>
      </fieldGroup>
    </cacheField>
    <cacheField name="Discount Category" numFmtId="49">
      <sharedItems count="3">
        <s v="High"/>
        <s v="Medium"/>
        <s v="Low"/>
      </sharedItems>
    </cacheField>
    <cacheField name="Review" numFmtId="1">
      <sharedItems containsSemiMixedTypes="0" containsString="0" containsNumber="1" containsInteger="1" minValue="0" maxValue="69"/>
    </cacheField>
    <cacheField name="Ratings" numFmtId="1">
      <sharedItems containsSemiMixedTypes="0" containsString="0" containsNumber="1" minValue="2" maxValue="5" count="23">
        <n v="5"/>
        <n v="4.8"/>
        <n v="4.7"/>
        <n v="4.5999999999999996"/>
        <n v="4.5"/>
        <n v="4.4000000000000004"/>
        <n v="4.3"/>
        <n v="4.2"/>
        <n v="4.0999999999999996"/>
        <n v="4"/>
        <n v="3.89"/>
        <n v="3.8"/>
        <n v="3.3"/>
        <n v="3"/>
        <n v="2.9"/>
        <n v="2.8"/>
        <n v="2.7"/>
        <n v="2.6"/>
        <n v="2.5"/>
        <n v="2.2999999999999998"/>
        <n v="2.2000000000000002"/>
        <n v="2.1"/>
        <n v="2"/>
      </sharedItems>
    </cacheField>
    <cacheField name="Rating Category" numFmtId="49">
      <sharedItems count="3">
        <s v="Excellent"/>
        <s v="Average"/>
        <s v="Poo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2">
  <r>
    <x v="0"/>
    <n v="332"/>
    <n v="684"/>
    <x v="0"/>
    <x v="0"/>
    <x v="0"/>
    <n v="2"/>
    <x v="0"/>
    <x v="0"/>
  </r>
  <r>
    <x v="1"/>
    <n v="195"/>
    <n v="360"/>
    <x v="1"/>
    <x v="1"/>
    <x v="0"/>
    <n v="2"/>
    <x v="0"/>
    <x v="0"/>
  </r>
  <r>
    <x v="2"/>
    <n v="2025"/>
    <n v="3971"/>
    <x v="2"/>
    <x v="2"/>
    <x v="0"/>
    <n v="3"/>
    <x v="0"/>
    <x v="0"/>
  </r>
  <r>
    <x v="3"/>
    <n v="1620"/>
    <n v="2690"/>
    <x v="3"/>
    <x v="3"/>
    <x v="1"/>
    <n v="1"/>
    <x v="0"/>
    <x v="0"/>
  </r>
  <r>
    <x v="4"/>
    <n v="171"/>
    <n v="360"/>
    <x v="4"/>
    <x v="4"/>
    <x v="0"/>
    <n v="2"/>
    <x v="0"/>
    <x v="0"/>
  </r>
  <r>
    <x v="5"/>
    <n v="979"/>
    <n v="1920"/>
    <x v="5"/>
    <x v="2"/>
    <x v="0"/>
    <n v="1"/>
    <x v="0"/>
    <x v="0"/>
  </r>
  <r>
    <x v="6"/>
    <n v="3640"/>
    <n v="4588"/>
    <x v="6"/>
    <x v="5"/>
    <x v="1"/>
    <n v="1"/>
    <x v="0"/>
    <x v="0"/>
  </r>
  <r>
    <x v="7"/>
    <n v="1740"/>
    <n v="2356"/>
    <x v="7"/>
    <x v="6"/>
    <x v="1"/>
    <n v="5"/>
    <x v="1"/>
    <x v="0"/>
  </r>
  <r>
    <x v="8"/>
    <n v="1274"/>
    <n v="2800"/>
    <x v="8"/>
    <x v="7"/>
    <x v="0"/>
    <n v="5"/>
    <x v="1"/>
    <x v="0"/>
  </r>
  <r>
    <x v="9"/>
    <n v="552"/>
    <n v="1035"/>
    <x v="9"/>
    <x v="8"/>
    <x v="0"/>
    <n v="12"/>
    <x v="1"/>
    <x v="0"/>
  </r>
  <r>
    <x v="10"/>
    <n v="1580"/>
    <n v="2499"/>
    <x v="10"/>
    <x v="9"/>
    <x v="1"/>
    <n v="7"/>
    <x v="2"/>
    <x v="0"/>
  </r>
  <r>
    <x v="11"/>
    <n v="990"/>
    <n v="1500"/>
    <x v="11"/>
    <x v="10"/>
    <x v="1"/>
    <n v="39"/>
    <x v="2"/>
    <x v="0"/>
  </r>
  <r>
    <x v="12"/>
    <n v="980"/>
    <n v="1490"/>
    <x v="11"/>
    <x v="10"/>
    <x v="1"/>
    <n v="12"/>
    <x v="2"/>
    <x v="0"/>
  </r>
  <r>
    <x v="13"/>
    <n v="1940"/>
    <n v="2650"/>
    <x v="12"/>
    <x v="11"/>
    <x v="1"/>
    <n v="20"/>
    <x v="2"/>
    <x v="0"/>
  </r>
  <r>
    <x v="14"/>
    <n v="2199"/>
    <n v="2923"/>
    <x v="13"/>
    <x v="12"/>
    <x v="1"/>
    <n v="24"/>
    <x v="3"/>
    <x v="0"/>
  </r>
  <r>
    <x v="15"/>
    <n v="2319"/>
    <n v="3032"/>
    <x v="14"/>
    <x v="13"/>
    <x v="1"/>
    <n v="55"/>
    <x v="3"/>
    <x v="0"/>
  </r>
  <r>
    <x v="16"/>
    <n v="2999"/>
    <n v="3699"/>
    <x v="15"/>
    <x v="14"/>
    <x v="2"/>
    <n v="5"/>
    <x v="3"/>
    <x v="0"/>
  </r>
  <r>
    <x v="17"/>
    <n v="998"/>
    <n v="1966"/>
    <x v="16"/>
    <x v="2"/>
    <x v="0"/>
    <n v="44"/>
    <x v="3"/>
    <x v="0"/>
  </r>
  <r>
    <x v="18"/>
    <n v="420"/>
    <n v="647"/>
    <x v="17"/>
    <x v="15"/>
    <x v="1"/>
    <n v="49"/>
    <x v="3"/>
    <x v="0"/>
  </r>
  <r>
    <x v="19"/>
    <n v="953.89"/>
    <n v="1525"/>
    <x v="18"/>
    <x v="16"/>
    <x v="1"/>
    <n v="2"/>
    <x v="4"/>
    <x v="0"/>
  </r>
  <r>
    <x v="20"/>
    <n v="501"/>
    <n v="860"/>
    <x v="19"/>
    <x v="17"/>
    <x v="0"/>
    <n v="6"/>
    <x v="4"/>
    <x v="0"/>
  </r>
  <r>
    <x v="21"/>
    <n v="1980"/>
    <n v="2699"/>
    <x v="20"/>
    <x v="11"/>
    <x v="1"/>
    <n v="32"/>
    <x v="4"/>
    <x v="0"/>
  </r>
  <r>
    <x v="22"/>
    <n v="1800"/>
    <n v="2700"/>
    <x v="21"/>
    <x v="16"/>
    <x v="1"/>
    <n v="2"/>
    <x v="4"/>
    <x v="0"/>
  </r>
  <r>
    <x v="23"/>
    <n v="1653.89"/>
    <n v="2150"/>
    <x v="22"/>
    <x v="18"/>
    <x v="1"/>
    <n v="14"/>
    <x v="5"/>
    <x v="1"/>
  </r>
  <r>
    <x v="24"/>
    <n v="2048"/>
    <n v="4500"/>
    <x v="23"/>
    <x v="19"/>
    <x v="0"/>
    <n v="7"/>
    <x v="6"/>
    <x v="1"/>
  </r>
  <r>
    <x v="25"/>
    <n v="185"/>
    <n v="382"/>
    <x v="24"/>
    <x v="20"/>
    <x v="0"/>
    <n v="9"/>
    <x v="6"/>
    <x v="1"/>
  </r>
  <r>
    <x v="26"/>
    <n v="1820"/>
    <n v="3490"/>
    <x v="25"/>
    <x v="21"/>
    <x v="0"/>
    <n v="9"/>
    <x v="6"/>
    <x v="1"/>
  </r>
  <r>
    <x v="27"/>
    <n v="389"/>
    <n v="656"/>
    <x v="26"/>
    <x v="22"/>
    <x v="0"/>
    <n v="36"/>
    <x v="6"/>
    <x v="1"/>
  </r>
  <r>
    <x v="28"/>
    <n v="1680"/>
    <n v="2499"/>
    <x v="27"/>
    <x v="23"/>
    <x v="1"/>
    <n v="9"/>
    <x v="7"/>
    <x v="1"/>
  </r>
  <r>
    <x v="29"/>
    <n v="527"/>
    <n v="999"/>
    <x v="28"/>
    <x v="8"/>
    <x v="0"/>
    <n v="14"/>
    <x v="8"/>
    <x v="1"/>
  </r>
  <r>
    <x v="30"/>
    <n v="799"/>
    <n v="999"/>
    <x v="29"/>
    <x v="24"/>
    <x v="1"/>
    <n v="12"/>
    <x v="8"/>
    <x v="1"/>
  </r>
  <r>
    <x v="31"/>
    <n v="1758"/>
    <n v="2499"/>
    <x v="30"/>
    <x v="25"/>
    <x v="1"/>
    <n v="20"/>
    <x v="8"/>
    <x v="1"/>
  </r>
  <r>
    <x v="32"/>
    <n v="2999"/>
    <n v="3290"/>
    <x v="31"/>
    <x v="26"/>
    <x v="2"/>
    <n v="15"/>
    <x v="9"/>
    <x v="1"/>
  </r>
  <r>
    <x v="33"/>
    <n v="988"/>
    <n v="1580"/>
    <x v="32"/>
    <x v="9"/>
    <x v="1"/>
    <n v="2"/>
    <x v="9"/>
    <x v="1"/>
  </r>
  <r>
    <x v="34"/>
    <n v="883.89"/>
    <n v="1353.89"/>
    <x v="33"/>
    <x v="15"/>
    <x v="1"/>
    <n v="6"/>
    <x v="9"/>
    <x v="1"/>
  </r>
  <r>
    <x v="35"/>
    <n v="330"/>
    <n v="647"/>
    <x v="34"/>
    <x v="2"/>
    <x v="0"/>
    <n v="1"/>
    <x v="9"/>
    <x v="1"/>
  </r>
  <r>
    <x v="36"/>
    <n v="1860"/>
    <n v="3220"/>
    <x v="35"/>
    <x v="17"/>
    <x v="0"/>
    <n v="0"/>
    <x v="10"/>
    <x v="1"/>
  </r>
  <r>
    <x v="37"/>
    <n v="2200"/>
    <n v="4080"/>
    <x v="36"/>
    <x v="1"/>
    <x v="0"/>
    <n v="0"/>
    <x v="10"/>
    <x v="1"/>
  </r>
  <r>
    <x v="38"/>
    <n v="2750"/>
    <n v="4471"/>
    <x v="37"/>
    <x v="16"/>
    <x v="1"/>
    <n v="0"/>
    <x v="10"/>
    <x v="1"/>
  </r>
  <r>
    <x v="39"/>
    <n v="475"/>
    <n v="931"/>
    <x v="38"/>
    <x v="2"/>
    <x v="0"/>
    <n v="0"/>
    <x v="10"/>
    <x v="1"/>
  </r>
  <r>
    <x v="40"/>
    <n v="238"/>
    <n v="476"/>
    <x v="39"/>
    <x v="27"/>
    <x v="0"/>
    <n v="0"/>
    <x v="10"/>
    <x v="1"/>
  </r>
  <r>
    <x v="41"/>
    <n v="610"/>
    <n v="1060"/>
    <x v="40"/>
    <x v="17"/>
    <x v="0"/>
    <n v="0"/>
    <x v="10"/>
    <x v="1"/>
  </r>
  <r>
    <x v="42"/>
    <n v="2132"/>
    <n v="2169"/>
    <x v="41"/>
    <x v="28"/>
    <x v="2"/>
    <n v="0"/>
    <x v="10"/>
    <x v="1"/>
  </r>
  <r>
    <x v="43"/>
    <n v="999"/>
    <n v="2000"/>
    <x v="42"/>
    <x v="27"/>
    <x v="0"/>
    <n v="0"/>
    <x v="10"/>
    <x v="1"/>
  </r>
  <r>
    <x v="44"/>
    <n v="1190"/>
    <n v="1785"/>
    <x v="43"/>
    <x v="23"/>
    <x v="1"/>
    <n v="0"/>
    <x v="10"/>
    <x v="1"/>
  </r>
  <r>
    <x v="45"/>
    <n v="671"/>
    <n v="1316"/>
    <x v="44"/>
    <x v="2"/>
    <x v="0"/>
    <n v="0"/>
    <x v="10"/>
    <x v="1"/>
  </r>
  <r>
    <x v="46"/>
    <n v="1200"/>
    <n v="1950"/>
    <x v="45"/>
    <x v="16"/>
    <x v="1"/>
    <n v="0"/>
    <x v="10"/>
    <x v="1"/>
  </r>
  <r>
    <x v="47"/>
    <n v="199"/>
    <n v="504"/>
    <x v="46"/>
    <x v="29"/>
    <x v="0"/>
    <n v="0"/>
    <x v="10"/>
    <x v="1"/>
  </r>
  <r>
    <x v="48"/>
    <n v="299"/>
    <n v="600"/>
    <x v="47"/>
    <x v="27"/>
    <x v="0"/>
    <n v="0"/>
    <x v="10"/>
    <x v="1"/>
  </r>
  <r>
    <x v="49"/>
    <n v="1660"/>
    <n v="1699"/>
    <x v="48"/>
    <x v="28"/>
    <x v="2"/>
    <n v="0"/>
    <x v="10"/>
    <x v="1"/>
  </r>
  <r>
    <x v="50"/>
    <n v="299"/>
    <n v="384"/>
    <x v="49"/>
    <x v="30"/>
    <x v="1"/>
    <n v="0"/>
    <x v="10"/>
    <x v="1"/>
  </r>
  <r>
    <x v="51"/>
    <n v="1459"/>
    <n v="1499"/>
    <x v="50"/>
    <x v="31"/>
    <x v="2"/>
    <n v="0"/>
    <x v="10"/>
    <x v="1"/>
  </r>
  <r>
    <x v="52"/>
    <n v="799"/>
    <n v="1343"/>
    <x v="51"/>
    <x v="22"/>
    <x v="0"/>
    <n v="0"/>
    <x v="10"/>
    <x v="1"/>
  </r>
  <r>
    <x v="53"/>
    <n v="499"/>
    <n v="900"/>
    <x v="52"/>
    <x v="32"/>
    <x v="0"/>
    <n v="0"/>
    <x v="10"/>
    <x v="1"/>
  </r>
  <r>
    <x v="54"/>
    <n v="699"/>
    <n v="1343"/>
    <x v="53"/>
    <x v="21"/>
    <x v="0"/>
    <n v="0"/>
    <x v="10"/>
    <x v="1"/>
  </r>
  <r>
    <x v="55"/>
    <n v="799"/>
    <n v="1567"/>
    <x v="54"/>
    <x v="2"/>
    <x v="0"/>
    <n v="0"/>
    <x v="10"/>
    <x v="1"/>
  </r>
  <r>
    <x v="56"/>
    <n v="2799"/>
    <n v="3810"/>
    <x v="55"/>
    <x v="11"/>
    <x v="1"/>
    <n v="0"/>
    <x v="10"/>
    <x v="1"/>
  </r>
  <r>
    <x v="53"/>
    <n v="399"/>
    <n v="896"/>
    <x v="56"/>
    <x v="7"/>
    <x v="0"/>
    <n v="0"/>
    <x v="10"/>
    <x v="1"/>
  </r>
  <r>
    <x v="57"/>
    <n v="790"/>
    <n v="1485"/>
    <x v="57"/>
    <x v="8"/>
    <x v="0"/>
    <n v="0"/>
    <x v="10"/>
    <x v="1"/>
  </r>
  <r>
    <x v="58"/>
    <n v="690"/>
    <n v="1200"/>
    <x v="11"/>
    <x v="33"/>
    <x v="0"/>
    <n v="0"/>
    <x v="10"/>
    <x v="1"/>
  </r>
  <r>
    <x v="59"/>
    <n v="1732"/>
    <n v="1799"/>
    <x v="58"/>
    <x v="34"/>
    <x v="2"/>
    <n v="0"/>
    <x v="10"/>
    <x v="1"/>
  </r>
  <r>
    <x v="60"/>
    <n v="230"/>
    <n v="450"/>
    <x v="59"/>
    <x v="2"/>
    <x v="0"/>
    <n v="0"/>
    <x v="10"/>
    <x v="1"/>
  </r>
  <r>
    <x v="61"/>
    <n v="1460"/>
    <n v="2290"/>
    <x v="60"/>
    <x v="35"/>
    <x v="1"/>
    <n v="0"/>
    <x v="10"/>
    <x v="1"/>
  </r>
  <r>
    <x v="62"/>
    <n v="1666"/>
    <n v="1699"/>
    <x v="61"/>
    <x v="28"/>
    <x v="2"/>
    <n v="0"/>
    <x v="10"/>
    <x v="1"/>
  </r>
  <r>
    <x v="47"/>
    <n v="176"/>
    <n v="345"/>
    <x v="62"/>
    <x v="2"/>
    <x v="0"/>
    <n v="0"/>
    <x v="10"/>
    <x v="1"/>
  </r>
  <r>
    <x v="63"/>
    <n v="1466"/>
    <n v="1699"/>
    <x v="63"/>
    <x v="36"/>
    <x v="2"/>
    <n v="0"/>
    <x v="10"/>
    <x v="1"/>
  </r>
  <r>
    <x v="64"/>
    <n v="274"/>
    <n v="537"/>
    <x v="64"/>
    <x v="2"/>
    <x v="0"/>
    <n v="0"/>
    <x v="10"/>
    <x v="1"/>
  </r>
  <r>
    <x v="65"/>
    <n v="799"/>
    <n v="900"/>
    <x v="65"/>
    <x v="37"/>
    <x v="2"/>
    <n v="0"/>
    <x v="10"/>
    <x v="1"/>
  </r>
  <r>
    <x v="55"/>
    <n v="657"/>
    <n v="1288"/>
    <x v="66"/>
    <x v="2"/>
    <x v="0"/>
    <n v="0"/>
    <x v="10"/>
    <x v="1"/>
  </r>
  <r>
    <x v="66"/>
    <n v="1468"/>
    <n v="1699"/>
    <x v="67"/>
    <x v="36"/>
    <x v="2"/>
    <n v="0"/>
    <x v="10"/>
    <x v="1"/>
  </r>
  <r>
    <x v="67"/>
    <n v="630"/>
    <n v="1100"/>
    <x v="68"/>
    <x v="33"/>
    <x v="0"/>
    <n v="0"/>
    <x v="10"/>
    <x v="1"/>
  </r>
  <r>
    <x v="68"/>
    <n v="850"/>
    <n v="1700"/>
    <x v="69"/>
    <x v="27"/>
    <x v="0"/>
    <n v="0"/>
    <x v="10"/>
    <x v="1"/>
  </r>
  <r>
    <x v="69"/>
    <n v="1300"/>
    <n v="2500"/>
    <x v="70"/>
    <x v="21"/>
    <x v="0"/>
    <n v="0"/>
    <x v="10"/>
    <x v="1"/>
  </r>
  <r>
    <x v="70"/>
    <n v="105"/>
    <n v="200"/>
    <x v="71"/>
    <x v="21"/>
    <x v="0"/>
    <n v="0"/>
    <x v="10"/>
    <x v="1"/>
  </r>
  <r>
    <x v="71"/>
    <n v="899"/>
    <n v="1699"/>
    <x v="72"/>
    <x v="8"/>
    <x v="0"/>
    <n v="0"/>
    <x v="10"/>
    <x v="1"/>
  </r>
  <r>
    <x v="72"/>
    <n v="1200"/>
    <n v="2400"/>
    <x v="70"/>
    <x v="27"/>
    <x v="0"/>
    <n v="0"/>
    <x v="10"/>
    <x v="1"/>
  </r>
  <r>
    <x v="73"/>
    <n v="1526"/>
    <n v="1660"/>
    <x v="73"/>
    <x v="38"/>
    <x v="2"/>
    <n v="0"/>
    <x v="10"/>
    <x v="1"/>
  </r>
  <r>
    <x v="74"/>
    <n v="1462"/>
    <n v="1499"/>
    <x v="41"/>
    <x v="28"/>
    <x v="2"/>
    <n v="0"/>
    <x v="10"/>
    <x v="1"/>
  </r>
  <r>
    <x v="75"/>
    <n v="248"/>
    <n v="486"/>
    <x v="39"/>
    <x v="2"/>
    <x v="0"/>
    <n v="0"/>
    <x v="10"/>
    <x v="1"/>
  </r>
  <r>
    <x v="76"/>
    <n v="3546"/>
    <n v="3699"/>
    <x v="74"/>
    <x v="34"/>
    <x v="2"/>
    <n v="0"/>
    <x v="10"/>
    <x v="1"/>
  </r>
  <r>
    <x v="77"/>
    <n v="525"/>
    <n v="1029"/>
    <x v="75"/>
    <x v="2"/>
    <x v="0"/>
    <n v="0"/>
    <x v="10"/>
    <x v="1"/>
  </r>
  <r>
    <x v="78"/>
    <n v="1080"/>
    <n v="1874"/>
    <x v="76"/>
    <x v="17"/>
    <x v="0"/>
    <n v="0"/>
    <x v="10"/>
    <x v="1"/>
  </r>
  <r>
    <x v="79"/>
    <n v="1420"/>
    <n v="2420"/>
    <x v="77"/>
    <x v="22"/>
    <x v="0"/>
    <n v="0"/>
    <x v="10"/>
    <x v="1"/>
  </r>
  <r>
    <x v="80"/>
    <n v="1875"/>
    <n v="1899"/>
    <x v="78"/>
    <x v="39"/>
    <x v="2"/>
    <n v="0"/>
    <x v="10"/>
    <x v="1"/>
  </r>
  <r>
    <x v="81"/>
    <n v="198"/>
    <n v="260"/>
    <x v="79"/>
    <x v="13"/>
    <x v="1"/>
    <n v="0"/>
    <x v="10"/>
    <x v="1"/>
  </r>
  <r>
    <x v="82"/>
    <n v="1150"/>
    <n v="1737"/>
    <x v="80"/>
    <x v="10"/>
    <x v="1"/>
    <n v="0"/>
    <x v="10"/>
    <x v="1"/>
  </r>
  <r>
    <x v="83"/>
    <n v="1190"/>
    <n v="1810"/>
    <x v="81"/>
    <x v="10"/>
    <x v="1"/>
    <n v="0"/>
    <x v="10"/>
    <x v="1"/>
  </r>
  <r>
    <x v="84"/>
    <n v="1658"/>
    <n v="1699"/>
    <x v="82"/>
    <x v="28"/>
    <x v="2"/>
    <n v="0"/>
    <x v="10"/>
    <x v="1"/>
  </r>
  <r>
    <x v="85"/>
    <n v="1768"/>
    <n v="1799"/>
    <x v="83"/>
    <x v="28"/>
    <x v="2"/>
    <n v="0"/>
    <x v="10"/>
    <x v="1"/>
  </r>
  <r>
    <x v="86"/>
    <n v="199"/>
    <n v="553"/>
    <x v="84"/>
    <x v="40"/>
    <x v="0"/>
    <n v="0"/>
    <x v="10"/>
    <x v="1"/>
  </r>
  <r>
    <x v="87"/>
    <n v="169"/>
    <n v="320"/>
    <x v="85"/>
    <x v="8"/>
    <x v="0"/>
    <n v="0"/>
    <x v="10"/>
    <x v="1"/>
  </r>
  <r>
    <x v="88"/>
    <n v="1600"/>
    <n v="2929"/>
    <x v="86"/>
    <x v="32"/>
    <x v="0"/>
    <n v="5"/>
    <x v="11"/>
    <x v="1"/>
  </r>
  <r>
    <x v="89"/>
    <n v="2880"/>
    <n v="3520"/>
    <x v="87"/>
    <x v="41"/>
    <x v="2"/>
    <n v="12"/>
    <x v="11"/>
    <x v="1"/>
  </r>
  <r>
    <x v="90"/>
    <n v="1350"/>
    <n v="1990"/>
    <x v="87"/>
    <x v="42"/>
    <x v="1"/>
    <n v="13"/>
    <x v="11"/>
    <x v="1"/>
  </r>
  <r>
    <x v="91"/>
    <n v="38"/>
    <n v="80"/>
    <x v="88"/>
    <x v="4"/>
    <x v="0"/>
    <n v="13"/>
    <x v="12"/>
    <x v="1"/>
  </r>
  <r>
    <x v="92"/>
    <n v="458"/>
    <n v="986"/>
    <x v="89"/>
    <x v="19"/>
    <x v="0"/>
    <n v="10"/>
    <x v="13"/>
    <x v="1"/>
  </r>
  <r>
    <x v="93"/>
    <n v="3750"/>
    <n v="6143"/>
    <x v="90"/>
    <x v="43"/>
    <x v="1"/>
    <n v="5"/>
    <x v="13"/>
    <x v="1"/>
  </r>
  <r>
    <x v="94"/>
    <n v="2300"/>
    <n v="3240"/>
    <x v="91"/>
    <x v="44"/>
    <x v="1"/>
    <n v="5"/>
    <x v="13"/>
    <x v="1"/>
  </r>
  <r>
    <x v="95"/>
    <n v="509"/>
    <n v="899"/>
    <x v="92"/>
    <x v="33"/>
    <x v="0"/>
    <n v="5"/>
    <x v="13"/>
    <x v="1"/>
  </r>
  <r>
    <x v="96"/>
    <n v="1189"/>
    <n v="2199"/>
    <x v="93"/>
    <x v="1"/>
    <x v="0"/>
    <n v="1"/>
    <x v="13"/>
    <x v="1"/>
  </r>
  <r>
    <x v="97"/>
    <n v="1220"/>
    <n v="1555"/>
    <x v="94"/>
    <x v="30"/>
    <x v="1"/>
    <n v="16"/>
    <x v="14"/>
    <x v="2"/>
  </r>
  <r>
    <x v="98"/>
    <n v="445"/>
    <n v="873"/>
    <x v="95"/>
    <x v="2"/>
    <x v="0"/>
    <n v="69"/>
    <x v="15"/>
    <x v="2"/>
  </r>
  <r>
    <x v="99"/>
    <n v="325"/>
    <n v="680"/>
    <x v="96"/>
    <x v="20"/>
    <x v="0"/>
    <n v="15"/>
    <x v="16"/>
    <x v="2"/>
  </r>
  <r>
    <x v="100"/>
    <n v="382"/>
    <n v="700"/>
    <x v="97"/>
    <x v="32"/>
    <x v="0"/>
    <n v="17"/>
    <x v="17"/>
    <x v="2"/>
  </r>
  <r>
    <x v="101"/>
    <n v="2170"/>
    <n v="2500"/>
    <x v="98"/>
    <x v="45"/>
    <x v="2"/>
    <n v="6"/>
    <x v="18"/>
    <x v="2"/>
  </r>
  <r>
    <x v="102"/>
    <n v="1000"/>
    <n v="2000"/>
    <x v="77"/>
    <x v="27"/>
    <x v="0"/>
    <n v="7"/>
    <x v="19"/>
    <x v="2"/>
  </r>
  <r>
    <x v="103"/>
    <n v="345"/>
    <n v="602"/>
    <x v="99"/>
    <x v="33"/>
    <x v="0"/>
    <n v="6"/>
    <x v="19"/>
    <x v="2"/>
  </r>
  <r>
    <x v="104"/>
    <n v="990"/>
    <n v="1814"/>
    <x v="100"/>
    <x v="32"/>
    <x v="0"/>
    <n v="6"/>
    <x v="20"/>
    <x v="2"/>
  </r>
  <r>
    <x v="105"/>
    <n v="968"/>
    <n v="1814"/>
    <x v="101"/>
    <x v="8"/>
    <x v="0"/>
    <n v="6"/>
    <x v="20"/>
    <x v="2"/>
  </r>
  <r>
    <x v="106"/>
    <n v="2115"/>
    <n v="4700"/>
    <x v="102"/>
    <x v="7"/>
    <x v="0"/>
    <n v="13"/>
    <x v="21"/>
    <x v="2"/>
  </r>
  <r>
    <x v="107"/>
    <n v="1570"/>
    <n v="2988"/>
    <x v="103"/>
    <x v="8"/>
    <x v="0"/>
    <n v="7"/>
    <x v="21"/>
    <x v="2"/>
  </r>
  <r>
    <x v="108"/>
    <n v="450"/>
    <n v="900"/>
    <x v="40"/>
    <x v="27"/>
    <x v="0"/>
    <n v="1"/>
    <x v="2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7" firstHeaderRow="0" firstDataRow="1" firstDataCol="1"/>
  <pivotFields count="9">
    <pivotField showAll="0"/>
    <pivotField showAll="0"/>
    <pivotField showAll="0"/>
    <pivotField dataField="1" numFmtId="3" showAll="0" defaultSubtotal="0"/>
    <pivotField numFmtId="9" showAll="0"/>
    <pivotField axis="axisRow" showAll="0">
      <items count="4">
        <item x="0"/>
        <item x="2"/>
        <item x="1"/>
        <item t="default"/>
      </items>
    </pivotField>
    <pivotField showAll="0"/>
    <pivotField dataField="1" showAll="0" defaultSubtotal="0"/>
    <pivotField showAll="0">
      <items count="4">
        <item x="1"/>
        <item x="0"/>
        <item x="2"/>
        <item t="default"/>
      </items>
    </pivotField>
  </pivotFields>
  <rowFields count="1">
    <field x="5"/>
  </rowFields>
  <rowItems count="4">
    <i>
      <x/>
    </i>
    <i>
      <x v="1"/>
    </i>
    <i>
      <x v="2"/>
    </i>
    <i t="grand">
      <x/>
    </i>
  </rowItems>
  <colFields count="1">
    <field x="-2"/>
  </colFields>
  <colItems count="2">
    <i>
      <x/>
    </i>
    <i i="1">
      <x v="1"/>
    </i>
  </colItems>
  <dataFields count="2">
    <dataField name="Average of Discount Amt" fld="3" subtotal="average" baseField="5" baseItem="0"/>
    <dataField name="Average of Ratings" fld="7"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9">
    <pivotField dataField="1" showAll="0"/>
    <pivotField showAll="0"/>
    <pivotField showAll="0"/>
    <pivotField numFmtId="3" showAll="0"/>
    <pivotField numFmtId="9" showAll="0"/>
    <pivotField showAll="0">
      <items count="4">
        <item x="0"/>
        <item x="2"/>
        <item x="1"/>
        <item t="default"/>
      </items>
    </pivotField>
    <pivotField showAll="0"/>
    <pivotField showAll="0"/>
    <pivotField axis="axisRow" showAll="0">
      <items count="4">
        <item x="1"/>
        <item x="0"/>
        <item x="2"/>
        <item t="default"/>
      </items>
    </pivotField>
  </pivotFields>
  <rowFields count="1">
    <field x="8"/>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9">
    <pivotField showAll="0"/>
    <pivotField showAll="0"/>
    <pivotField showAll="0"/>
    <pivotField numFmtId="3" showAll="0"/>
    <pivotField axis="axisRow" numFmtId="9" showAll="0">
      <items count="10">
        <item x="0"/>
        <item x="1"/>
        <item x="2"/>
        <item x="3"/>
        <item x="4"/>
        <item x="5"/>
        <item x="6"/>
        <item x="7"/>
        <item x="8"/>
        <item t="default"/>
      </items>
    </pivotField>
    <pivotField showAll="0">
      <items count="4">
        <item x="0"/>
        <item x="2"/>
        <item x="1"/>
        <item t="default"/>
      </items>
    </pivotField>
    <pivotField dataField="1" showAll="0"/>
    <pivotField showAll="0"/>
    <pivotField showAll="0">
      <items count="4">
        <item x="1"/>
        <item x="0"/>
        <item x="2"/>
        <item t="default"/>
      </items>
    </pivotField>
  </pivotFields>
  <rowFields count="1">
    <field x="4"/>
  </rowFields>
  <rowItems count="8">
    <i>
      <x v="1"/>
    </i>
    <i>
      <x v="2"/>
    </i>
    <i>
      <x v="3"/>
    </i>
    <i>
      <x v="4"/>
    </i>
    <i>
      <x v="5"/>
    </i>
    <i>
      <x v="6"/>
    </i>
    <i>
      <x v="7"/>
    </i>
    <i t="grand">
      <x/>
    </i>
  </rowItems>
  <colItems count="1">
    <i/>
  </colItems>
  <dataFields count="1">
    <dataField name="Count of Review" fld="6" subtotal="count" baseField="4" baseItem="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7" firstHeaderRow="1" firstDataRow="1" firstDataCol="1"/>
  <pivotFields count="9">
    <pivotField showAll="0"/>
    <pivotField showAll="0"/>
    <pivotField showAll="0"/>
    <pivotField numFmtId="3" showAll="0"/>
    <pivotField numFmtId="9" showAll="0"/>
    <pivotField showAll="0">
      <items count="4">
        <item x="0"/>
        <item x="2"/>
        <item x="1"/>
        <item t="default"/>
      </items>
    </pivotField>
    <pivotField dataField="1" showAll="0"/>
    <pivotField axis="axisRow" showAll="0">
      <items count="24">
        <item x="22"/>
        <item x="21"/>
        <item x="20"/>
        <item x="19"/>
        <item x="18"/>
        <item x="17"/>
        <item x="16"/>
        <item x="15"/>
        <item x="14"/>
        <item x="13"/>
        <item x="12"/>
        <item x="11"/>
        <item x="10"/>
        <item x="9"/>
        <item x="8"/>
        <item x="7"/>
        <item x="6"/>
        <item x="5"/>
        <item x="4"/>
        <item x="3"/>
        <item x="2"/>
        <item x="1"/>
        <item x="0"/>
        <item t="default"/>
      </items>
    </pivotField>
    <pivotField showAll="0">
      <items count="4">
        <item x="1"/>
        <item x="0"/>
        <item x="2"/>
        <item t="default"/>
      </items>
    </pivotField>
  </pivotFields>
  <rowFields count="1">
    <field x="7"/>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9">
    <pivotField showAll="0"/>
    <pivotField showAll="0"/>
    <pivotField showAll="0"/>
    <pivotField axis="axisRow" numFmtId="3" showAll="0">
      <items count="14">
        <item x="0"/>
        <item x="1"/>
        <item x="2"/>
        <item x="3"/>
        <item x="4"/>
        <item x="5"/>
        <item x="6"/>
        <item x="7"/>
        <item x="8"/>
        <item x="9"/>
        <item x="10"/>
        <item x="11"/>
        <item x="12"/>
        <item t="default"/>
      </items>
    </pivotField>
    <pivotField numFmtId="9" showAll="0"/>
    <pivotField showAll="0">
      <items count="4">
        <item x="0"/>
        <item x="2"/>
        <item x="1"/>
        <item t="default"/>
      </items>
    </pivotField>
    <pivotField dataField="1" showAll="0"/>
    <pivotField showAll="0"/>
    <pivotField showAll="0">
      <items count="4">
        <item x="1"/>
        <item x="0"/>
        <item x="2"/>
        <item t="default"/>
      </items>
    </pivotField>
  </pivotFields>
  <rowFields count="1">
    <field x="3"/>
  </rowFields>
  <rowItems count="11">
    <i>
      <x v="1"/>
    </i>
    <i>
      <x v="2"/>
    </i>
    <i>
      <x v="3"/>
    </i>
    <i>
      <x v="4"/>
    </i>
    <i>
      <x v="5"/>
    </i>
    <i>
      <x v="6"/>
    </i>
    <i>
      <x v="7"/>
    </i>
    <i>
      <x v="8"/>
    </i>
    <i>
      <x v="10"/>
    </i>
    <i>
      <x v="11"/>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9">
    <pivotField showAll="0"/>
    <pivotField showAll="0"/>
    <pivotField showAll="0"/>
    <pivotField numFmtId="3" showAll="0"/>
    <pivotField numFmtId="9" showAll="0"/>
    <pivotField showAll="0">
      <items count="4">
        <item x="0"/>
        <item x="2"/>
        <item x="1"/>
        <item t="default"/>
      </items>
    </pivotField>
    <pivotField dataField="1" showAll="0"/>
    <pivotField showAll="0"/>
    <pivotField axis="axisRow" showAll="0">
      <items count="4">
        <item x="1"/>
        <item x="0"/>
        <item x="2"/>
        <item t="default"/>
      </items>
    </pivotField>
  </pivotFields>
  <rowFields count="1">
    <field x="8"/>
  </rowFields>
  <rowItems count="4">
    <i>
      <x/>
    </i>
    <i>
      <x v="1"/>
    </i>
    <i>
      <x v="2"/>
    </i>
    <i t="grand">
      <x/>
    </i>
  </rowItems>
  <colItems count="1">
    <i/>
  </colItems>
  <dataFields count="1">
    <dataField name="Sum of Review" fld="6" baseField="0" baseItem="0"/>
  </dataFields>
  <chartFormats count="8">
    <chartFormat chart="0" format="1"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2" format="9">
      <pivotArea type="data" outline="0" fieldPosition="0">
        <references count="2">
          <reference field="4294967294" count="1" selected="0">
            <x v="0"/>
          </reference>
          <reference field="8" count="1" selected="0">
            <x v="2"/>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0" format="3">
      <pivotArea type="data" outline="0" fieldPosition="0">
        <references count="2">
          <reference field="4294967294" count="1" selected="0">
            <x v="0"/>
          </reference>
          <reference field="8" count="1" selected="0">
            <x v="1"/>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9">
    <pivotField axis="axisRow" showAll="0" measureFilter="1" sortType="descending">
      <items count="110">
        <item x="22"/>
        <item x="11"/>
        <item x="19"/>
        <item x="90"/>
        <item x="12"/>
        <item x="98"/>
        <item x="56"/>
        <item x="88"/>
        <item x="15"/>
        <item x="81"/>
        <item x="62"/>
        <item x="32"/>
        <item x="80"/>
        <item x="72"/>
        <item x="46"/>
        <item x="57"/>
        <item x="93"/>
        <item x="102"/>
        <item x="17"/>
        <item x="58"/>
        <item x="91"/>
        <item x="75"/>
        <item x="9"/>
        <item x="39"/>
        <item x="36"/>
        <item x="101"/>
        <item x="31"/>
        <item x="21"/>
        <item x="13"/>
        <item x="61"/>
        <item x="106"/>
        <item x="86"/>
        <item x="71"/>
        <item x="44"/>
        <item x="60"/>
        <item x="105"/>
        <item x="78"/>
        <item x="79"/>
        <item x="100"/>
        <item x="55"/>
        <item x="0"/>
        <item x="104"/>
        <item x="77"/>
        <item x="41"/>
        <item x="5"/>
        <item x="87"/>
        <item x="48"/>
        <item x="45"/>
        <item x="64"/>
        <item x="83"/>
        <item x="43"/>
        <item x="54"/>
        <item x="4"/>
        <item x="47"/>
        <item x="59"/>
        <item x="52"/>
        <item x="33"/>
        <item x="3"/>
        <item x="107"/>
        <item x="18"/>
        <item x="25"/>
        <item x="23"/>
        <item x="30"/>
        <item x="35"/>
        <item x="99"/>
        <item x="6"/>
        <item x="94"/>
        <item x="24"/>
        <item x="2"/>
        <item x="20"/>
        <item x="8"/>
        <item x="38"/>
        <item x="26"/>
        <item x="34"/>
        <item x="82"/>
        <item x="16"/>
        <item x="96"/>
        <item x="29"/>
        <item x="76"/>
        <item x="40"/>
        <item x="28"/>
        <item x="67"/>
        <item x="37"/>
        <item x="51"/>
        <item x="92"/>
        <item x="63"/>
        <item x="65"/>
        <item x="1"/>
        <item x="49"/>
        <item x="50"/>
        <item x="7"/>
        <item x="14"/>
        <item x="74"/>
        <item x="89"/>
        <item x="69"/>
        <item x="27"/>
        <item x="70"/>
        <item x="42"/>
        <item x="84"/>
        <item x="53"/>
        <item x="85"/>
        <item x="97"/>
        <item x="68"/>
        <item x="73"/>
        <item x="108"/>
        <item x="66"/>
        <item x="103"/>
        <item x="10"/>
        <item x="95"/>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dataField="1" numFmtId="9" showAll="0"/>
    <pivotField showAll="0">
      <items count="4">
        <item x="0"/>
        <item x="2"/>
        <item x="1"/>
        <item t="default"/>
      </items>
    </pivotField>
    <pivotField showAll="0"/>
    <pivotField showAll="0"/>
    <pivotField showAll="0">
      <items count="4">
        <item x="1"/>
        <item x="0"/>
        <item x="2"/>
        <item t="default"/>
      </items>
    </pivotField>
  </pivotFields>
  <rowFields count="1">
    <field x="0"/>
  </rowFields>
  <rowItems count="11">
    <i>
      <x v="53"/>
    </i>
    <i>
      <x v="99"/>
    </i>
    <i>
      <x v="39"/>
    </i>
    <i>
      <x v="31"/>
    </i>
    <i>
      <x v="70"/>
    </i>
    <i>
      <x v="30"/>
    </i>
    <i>
      <x v="67"/>
    </i>
    <i>
      <x v="84"/>
    </i>
    <i>
      <x v="20"/>
    </i>
    <i>
      <x v="52"/>
    </i>
    <i t="grand">
      <x/>
    </i>
  </rowItems>
  <colItems count="1">
    <i/>
  </colItems>
  <dataFields count="1">
    <dataField name="Sum of Disc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9">
    <pivotField axis="axisRow" showAll="0" measureFilter="1" sortType="descending">
      <items count="110">
        <item x="22"/>
        <item x="11"/>
        <item x="19"/>
        <item x="90"/>
        <item x="12"/>
        <item x="98"/>
        <item x="56"/>
        <item x="88"/>
        <item x="15"/>
        <item x="81"/>
        <item x="62"/>
        <item x="32"/>
        <item x="80"/>
        <item x="72"/>
        <item x="46"/>
        <item x="57"/>
        <item x="93"/>
        <item x="102"/>
        <item x="17"/>
        <item x="58"/>
        <item x="91"/>
        <item x="75"/>
        <item x="9"/>
        <item x="39"/>
        <item x="36"/>
        <item x="101"/>
        <item x="31"/>
        <item x="21"/>
        <item x="13"/>
        <item x="61"/>
        <item x="106"/>
        <item x="86"/>
        <item x="71"/>
        <item x="44"/>
        <item x="60"/>
        <item x="105"/>
        <item x="78"/>
        <item x="79"/>
        <item x="100"/>
        <item x="55"/>
        <item x="0"/>
        <item x="104"/>
        <item x="77"/>
        <item x="41"/>
        <item x="5"/>
        <item x="87"/>
        <item x="48"/>
        <item x="45"/>
        <item x="64"/>
        <item x="83"/>
        <item x="43"/>
        <item x="54"/>
        <item x="4"/>
        <item x="47"/>
        <item x="59"/>
        <item x="52"/>
        <item x="33"/>
        <item x="3"/>
        <item x="107"/>
        <item x="18"/>
        <item x="25"/>
        <item x="23"/>
        <item x="30"/>
        <item x="35"/>
        <item x="99"/>
        <item x="6"/>
        <item x="94"/>
        <item x="24"/>
        <item x="2"/>
        <item x="20"/>
        <item x="8"/>
        <item x="38"/>
        <item x="26"/>
        <item x="34"/>
        <item x="82"/>
        <item x="16"/>
        <item x="96"/>
        <item x="29"/>
        <item x="76"/>
        <item x="40"/>
        <item x="28"/>
        <item x="67"/>
        <item x="37"/>
        <item x="51"/>
        <item x="92"/>
        <item x="63"/>
        <item x="65"/>
        <item x="1"/>
        <item x="49"/>
        <item x="50"/>
        <item x="7"/>
        <item x="14"/>
        <item x="74"/>
        <item x="89"/>
        <item x="69"/>
        <item x="27"/>
        <item x="70"/>
        <item x="42"/>
        <item x="84"/>
        <item x="53"/>
        <item x="85"/>
        <item x="97"/>
        <item x="68"/>
        <item x="73"/>
        <item x="108"/>
        <item x="66"/>
        <item x="103"/>
        <item x="10"/>
        <item x="95"/>
        <item t="default"/>
      </items>
      <autoSortScope>
        <pivotArea dataOnly="0" outline="0" fieldPosition="0">
          <references count="1">
            <reference field="4294967294" count="1" selected="0">
              <x v="0"/>
            </reference>
          </references>
        </pivotArea>
      </autoSortScope>
    </pivotField>
    <pivotField showAll="0"/>
    <pivotField showAll="0"/>
    <pivotField numFmtId="3" showAll="0"/>
    <pivotField numFmtId="9" showAll="0"/>
    <pivotField showAll="0">
      <items count="4">
        <item x="0"/>
        <item x="2"/>
        <item x="1"/>
        <item t="default"/>
      </items>
    </pivotField>
    <pivotField dataField="1" showAll="0"/>
    <pivotField showAll="0"/>
    <pivotField showAll="0">
      <items count="4">
        <item x="1"/>
        <item x="0"/>
        <item x="2"/>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9">
    <pivotField axis="axisRow" showAll="0" measureFilter="1">
      <items count="110">
        <item x="22"/>
        <item x="11"/>
        <item x="19"/>
        <item x="90"/>
        <item x="12"/>
        <item x="98"/>
        <item x="56"/>
        <item x="88"/>
        <item x="15"/>
        <item x="81"/>
        <item x="62"/>
        <item x="32"/>
        <item x="80"/>
        <item x="72"/>
        <item x="46"/>
        <item x="57"/>
        <item x="93"/>
        <item x="102"/>
        <item x="17"/>
        <item x="58"/>
        <item x="91"/>
        <item x="75"/>
        <item x="9"/>
        <item x="39"/>
        <item x="36"/>
        <item x="101"/>
        <item x="31"/>
        <item x="21"/>
        <item x="13"/>
        <item x="61"/>
        <item x="106"/>
        <item x="86"/>
        <item x="71"/>
        <item x="44"/>
        <item x="60"/>
        <item x="105"/>
        <item x="78"/>
        <item x="79"/>
        <item x="100"/>
        <item x="55"/>
        <item x="0"/>
        <item x="104"/>
        <item x="77"/>
        <item x="41"/>
        <item x="5"/>
        <item x="87"/>
        <item x="48"/>
        <item x="45"/>
        <item x="64"/>
        <item x="83"/>
        <item x="43"/>
        <item x="54"/>
        <item x="4"/>
        <item x="47"/>
        <item x="59"/>
        <item x="52"/>
        <item x="33"/>
        <item x="3"/>
        <item x="107"/>
        <item x="18"/>
        <item x="25"/>
        <item x="23"/>
        <item x="30"/>
        <item x="35"/>
        <item x="99"/>
        <item x="6"/>
        <item x="94"/>
        <item x="24"/>
        <item x="2"/>
        <item x="20"/>
        <item x="8"/>
        <item x="38"/>
        <item x="26"/>
        <item x="34"/>
        <item x="82"/>
        <item x="16"/>
        <item x="96"/>
        <item x="29"/>
        <item x="76"/>
        <item x="40"/>
        <item x="28"/>
        <item x="67"/>
        <item x="37"/>
        <item x="51"/>
        <item x="92"/>
        <item x="63"/>
        <item x="65"/>
        <item x="1"/>
        <item x="49"/>
        <item x="50"/>
        <item x="7"/>
        <item x="14"/>
        <item x="74"/>
        <item x="89"/>
        <item x="69"/>
        <item x="27"/>
        <item x="70"/>
        <item x="42"/>
        <item x="84"/>
        <item x="53"/>
        <item x="85"/>
        <item x="97"/>
        <item x="68"/>
        <item x="73"/>
        <item x="108"/>
        <item x="66"/>
        <item x="103"/>
        <item x="10"/>
        <item x="95"/>
        <item t="default"/>
      </items>
    </pivotField>
    <pivotField showAll="0"/>
    <pivotField showAll="0"/>
    <pivotField numFmtId="3" showAll="0"/>
    <pivotField numFmtId="9" showAll="0"/>
    <pivotField showAll="0">
      <items count="4">
        <item x="0"/>
        <item x="2"/>
        <item x="1"/>
        <item t="default"/>
      </items>
    </pivotField>
    <pivotField showAll="0"/>
    <pivotField dataField="1" showAll="0"/>
    <pivotField showAll="0">
      <items count="4">
        <item x="1"/>
        <item x="0"/>
        <item x="2"/>
        <item t="default"/>
      </items>
    </pivotField>
  </pivotFields>
  <rowFields count="1">
    <field x="0"/>
  </rowFields>
  <rowItems count="11">
    <i>
      <x v="39"/>
    </i>
    <i>
      <x v="40"/>
    </i>
    <i>
      <x v="44"/>
    </i>
    <i>
      <x v="52"/>
    </i>
    <i>
      <x v="53"/>
    </i>
    <i>
      <x v="57"/>
    </i>
    <i>
      <x v="65"/>
    </i>
    <i>
      <x v="68"/>
    </i>
    <i>
      <x v="87"/>
    </i>
    <i>
      <x v="99"/>
    </i>
    <i t="grand">
      <x/>
    </i>
  </rowItems>
  <colItems count="1">
    <i/>
  </colItems>
  <dataFields count="1">
    <dataField name="Sum of Ratings"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6:C7" firstHeaderRow="1" firstDataRow="1" firstDataCol="0"/>
  <pivotFields count="9">
    <pivotField showAll="0"/>
    <pivotField showAll="0"/>
    <pivotField showAll="0"/>
    <pivotField numFmtId="3" showAll="0"/>
    <pivotField numFmtId="9" showAll="0"/>
    <pivotField showAll="0">
      <items count="4">
        <item x="0"/>
        <item x="2"/>
        <item x="1"/>
        <item t="default"/>
      </items>
    </pivotField>
    <pivotField dataField="1" showAll="0"/>
    <pivotField showAll="0"/>
    <pivotField showAll="0">
      <items count="4">
        <item x="1"/>
        <item x="0"/>
        <item x="2"/>
        <item t="default"/>
      </items>
    </pivotField>
  </pivotFields>
  <rowItems count="1">
    <i/>
  </rowItems>
  <colItems count="1">
    <i/>
  </colItems>
  <dataFields count="1">
    <dataField name="Total Reviews" fld="6" baseField="0" baseItem="1957684096" numFmtId="1"/>
  </dataFields>
  <formats count="8">
    <format dxfId="251">
      <pivotArea type="all" dataOnly="0" outline="0" fieldPosition="0"/>
    </format>
    <format dxfId="250">
      <pivotArea outline="0" collapsedLevelsAreSubtotals="1" fieldPosition="0"/>
    </format>
    <format dxfId="249">
      <pivotArea dataOnly="0" labelOnly="1" outline="0" axis="axisValues" fieldPosition="0"/>
    </format>
    <format dxfId="248">
      <pivotArea dataOnly="0" labelOnly="1" outline="0" axis="axisValues" fieldPosition="0"/>
    </format>
    <format dxfId="247">
      <pivotArea type="all" dataOnly="0" outline="0" fieldPosition="0"/>
    </format>
    <format dxfId="246">
      <pivotArea outline="0" collapsedLevelsAreSubtotals="1" fieldPosition="0"/>
    </format>
    <format dxfId="245">
      <pivotArea dataOnly="0" labelOnly="1" outline="0" axis="axisValues" fieldPosition="0"/>
    </format>
    <format dxfId="2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9">
    <pivotField showAll="0"/>
    <pivotField showAll="0"/>
    <pivotField showAll="0"/>
    <pivotField numFmtId="3" showAll="0"/>
    <pivotField dataField="1" numFmtId="9" showAll="0">
      <items count="10">
        <item x="0"/>
        <item x="1"/>
        <item x="2"/>
        <item x="3"/>
        <item x="4"/>
        <item x="5"/>
        <item x="6"/>
        <item x="7"/>
        <item x="8"/>
        <item t="default"/>
      </items>
    </pivotField>
    <pivotField showAll="0">
      <items count="4">
        <item x="0"/>
        <item x="2"/>
        <item x="1"/>
        <item t="default"/>
      </items>
    </pivotField>
    <pivotField showAll="0"/>
    <pivotField showAll="0"/>
    <pivotField showAll="0">
      <items count="4">
        <item x="1"/>
        <item x="0"/>
        <item x="2"/>
        <item t="default"/>
      </items>
    </pivotField>
  </pivotFields>
  <rowItems count="1">
    <i/>
  </rowItems>
  <colItems count="1">
    <i/>
  </colItems>
  <dataFields count="1">
    <dataField name="Average Discount" fld="4" subtotal="average" baseField="0" baseItem="1957684096" numFmtId="10"/>
  </dataFields>
  <formats count="8">
    <format dxfId="259">
      <pivotArea type="all" dataOnly="0" outline="0" fieldPosition="0"/>
    </format>
    <format dxfId="258">
      <pivotArea outline="0" collapsedLevelsAreSubtotals="1" fieldPosition="0"/>
    </format>
    <format dxfId="257">
      <pivotArea dataOnly="0" labelOnly="1" outline="0" axis="axisValues" fieldPosition="0"/>
    </format>
    <format dxfId="256">
      <pivotArea dataOnly="0" labelOnly="1" outline="0" axis="axisValues" fieldPosition="0"/>
    </format>
    <format dxfId="255">
      <pivotArea type="all" dataOnly="0" outline="0" fieldPosition="0"/>
    </format>
    <format dxfId="254">
      <pivotArea outline="0" collapsedLevelsAreSubtotals="1" fieldPosition="0"/>
    </format>
    <format dxfId="253">
      <pivotArea dataOnly="0" labelOnly="1" outline="0" axis="axisValues" fieldPosition="0"/>
    </format>
    <format dxfId="2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A7" firstHeaderRow="1" firstDataRow="1" firstDataCol="0"/>
  <pivotFields count="9">
    <pivotField showAll="0"/>
    <pivotField showAll="0"/>
    <pivotField showAll="0"/>
    <pivotField numFmtId="3" showAll="0"/>
    <pivotField numFmtId="9" showAll="0"/>
    <pivotField showAll="0">
      <items count="4">
        <item x="0"/>
        <item x="2"/>
        <item x="1"/>
        <item t="default"/>
      </items>
    </pivotField>
    <pivotField showAll="0"/>
    <pivotField dataField="1" showAll="0"/>
    <pivotField showAll="0">
      <items count="4">
        <item x="1"/>
        <item x="0"/>
        <item x="2"/>
        <item t="default"/>
      </items>
    </pivotField>
  </pivotFields>
  <rowItems count="1">
    <i/>
  </rowItems>
  <colItems count="1">
    <i/>
  </colItems>
  <dataFields count="1">
    <dataField name="Average Rating" fld="7" subtotal="average" baseField="0" baseItem="1957684096" numFmtId="2"/>
  </dataFields>
  <formats count="4">
    <format dxfId="263">
      <pivotArea type="all" dataOnly="0" outline="0" fieldPosition="0"/>
    </format>
    <format dxfId="262">
      <pivotArea outline="0" collapsedLevelsAreSubtotals="1" fieldPosition="0"/>
    </format>
    <format dxfId="261">
      <pivotArea dataOnly="0" labelOnly="1" outline="0" axis="axisValues" fieldPosition="0"/>
    </format>
    <format dxfId="2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9">
    <pivotField dataField="1" showAll="0"/>
    <pivotField showAll="0"/>
    <pivotField showAll="0"/>
    <pivotField numFmtId="3" showAll="0"/>
    <pivotField numFmtId="9" showAll="0"/>
    <pivotField showAll="0">
      <items count="4">
        <item x="0"/>
        <item x="2"/>
        <item x="1"/>
        <item t="default"/>
      </items>
    </pivotField>
    <pivotField showAll="0"/>
    <pivotField showAll="0"/>
    <pivotField showAll="0">
      <items count="4">
        <item x="1"/>
        <item x="0"/>
        <item x="2"/>
        <item t="default"/>
      </items>
    </pivotField>
  </pivotFields>
  <rowItems count="1">
    <i/>
  </rowItems>
  <colItems count="1">
    <i/>
  </colItems>
  <dataFields count="1">
    <dataField name="Total Products" fld="0" subtotal="count" baseField="0" baseItem="195768409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4:E5" firstHeaderRow="1" firstDataRow="1" firstDataCol="0"/>
  <pivotFields count="9">
    <pivotField showAll="0"/>
    <pivotField showAll="0"/>
    <pivotField showAll="0"/>
    <pivotField numFmtId="3" showAll="0"/>
    <pivotField numFmtId="9" showAll="0"/>
    <pivotField showAll="0">
      <items count="4">
        <item x="0"/>
        <item x="2"/>
        <item x="1"/>
        <item t="default"/>
      </items>
    </pivotField>
    <pivotField dataField="1" showAll="0"/>
    <pivotField showAll="0"/>
    <pivotField showAll="0">
      <items count="4">
        <item x="1"/>
        <item x="0"/>
        <item x="2"/>
        <item t="default"/>
      </items>
    </pivotField>
  </pivotFields>
  <rowItems count="1">
    <i/>
  </rowItems>
  <colItems count="1">
    <i/>
  </colItems>
  <dataFields count="1">
    <dataField name="Total Reviews" fld="6" baseField="0" baseItem="1957684096" numFmtId="1"/>
  </dataFields>
  <formats count="20">
    <format dxfId="195">
      <pivotArea type="all" dataOnly="0" outline="0" fieldPosition="0"/>
    </format>
    <format dxfId="194">
      <pivotArea outline="0" collapsedLevelsAreSubtotals="1" fieldPosition="0"/>
    </format>
    <format dxfId="193">
      <pivotArea dataOnly="0" labelOnly="1" outline="0" axis="axisValues" fieldPosition="0"/>
    </format>
    <format dxfId="192">
      <pivotArea dataOnly="0" labelOnly="1" outline="0" axis="axisValues" fieldPosition="0"/>
    </format>
    <format dxfId="191">
      <pivotArea type="all" dataOnly="0" outline="0" fieldPosition="0"/>
    </format>
    <format dxfId="190">
      <pivotArea outline="0" collapsedLevelsAreSubtotals="1" fieldPosition="0"/>
    </format>
    <format dxfId="189">
      <pivotArea dataOnly="0" labelOnly="1" outline="0" axis="axisValues" fieldPosition="0"/>
    </format>
    <format dxfId="188">
      <pivotArea dataOnly="0" labelOnly="1" outline="0" axis="axisValues" fieldPosition="0"/>
    </format>
    <format dxfId="187">
      <pivotArea type="all" dataOnly="0" outline="0" fieldPosition="0"/>
    </format>
    <format dxfId="186">
      <pivotArea outline="0" collapsedLevelsAreSubtotals="1" fieldPosition="0"/>
    </format>
    <format dxfId="185">
      <pivotArea dataOnly="0" labelOnly="1" outline="0" axis="axisValues" fieldPosition="0"/>
    </format>
    <format dxfId="184">
      <pivotArea dataOnly="0" labelOnly="1" outline="0" axis="axisValues" fieldPosition="0"/>
    </format>
    <format dxfId="183">
      <pivotArea type="all" dataOnly="0" outline="0" fieldPosition="0"/>
    </format>
    <format dxfId="182">
      <pivotArea outline="0" collapsedLevelsAreSubtotals="1" fieldPosition="0"/>
    </format>
    <format dxfId="181">
      <pivotArea dataOnly="0" labelOnly="1" outline="0" axis="axisValues"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dataOnly="0" labelOnly="1" outline="0" axis="axisValues" fieldPosition="0"/>
    </format>
    <format dxfId="1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4:D5" firstHeaderRow="1" firstDataRow="1" firstDataCol="0"/>
  <pivotFields count="9">
    <pivotField showAll="0"/>
    <pivotField showAll="0"/>
    <pivotField showAll="0"/>
    <pivotField numFmtId="3" showAll="0"/>
    <pivotField dataField="1" numFmtId="9" showAll="0">
      <items count="10">
        <item x="0"/>
        <item x="1"/>
        <item x="2"/>
        <item x="3"/>
        <item x="4"/>
        <item x="5"/>
        <item x="6"/>
        <item x="7"/>
        <item x="8"/>
        <item t="default"/>
      </items>
    </pivotField>
    <pivotField showAll="0">
      <items count="4">
        <item x="0"/>
        <item x="2"/>
        <item x="1"/>
        <item t="default"/>
      </items>
    </pivotField>
    <pivotField showAll="0"/>
    <pivotField showAll="0"/>
    <pivotField showAll="0">
      <items count="4">
        <item x="1"/>
        <item x="0"/>
        <item x="2"/>
        <item t="default"/>
      </items>
    </pivotField>
  </pivotFields>
  <rowItems count="1">
    <i/>
  </rowItems>
  <colItems count="1">
    <i/>
  </colItems>
  <dataFields count="1">
    <dataField name="Average Discount" fld="4" subtotal="average" baseField="0" baseItem="1957684096" numFmtId="10"/>
  </dataFields>
  <formats count="20">
    <format dxfId="215">
      <pivotArea type="all" dataOnly="0" outline="0" fieldPosition="0"/>
    </format>
    <format dxfId="214">
      <pivotArea outline="0" collapsedLevelsAreSubtotals="1" fieldPosition="0"/>
    </format>
    <format dxfId="213">
      <pivotArea dataOnly="0" labelOnly="1" outline="0" axis="axisValues"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dataOnly="0" labelOnly="1" outline="0" axis="axisValues" fieldPosition="0"/>
    </format>
    <format dxfId="204">
      <pivotArea dataOnly="0" labelOnly="1" outline="0" axis="axisValues" fieldPosition="0"/>
    </format>
    <format dxfId="203">
      <pivotArea type="all" dataOnly="0" outline="0" fieldPosition="0"/>
    </format>
    <format dxfId="202">
      <pivotArea outline="0" collapsedLevelsAreSubtotals="1" fieldPosition="0"/>
    </format>
    <format dxfId="201">
      <pivotArea dataOnly="0" labelOnly="1" outline="0" axis="axisValues" fieldPosition="0"/>
    </format>
    <format dxfId="200">
      <pivotArea dataOnly="0" labelOnly="1" outline="0" axis="axisValues" fieldPosition="0"/>
    </format>
    <format dxfId="199">
      <pivotArea type="all" dataOnly="0" outline="0" fieldPosition="0"/>
    </format>
    <format dxfId="198">
      <pivotArea outline="0" collapsedLevelsAreSubtotals="1" fieldPosition="0"/>
    </format>
    <format dxfId="197">
      <pivotArea dataOnly="0" labelOnly="1" outline="0" axis="axisValues" fieldPosition="0"/>
    </format>
    <format dxfId="1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4:C5" firstHeaderRow="1" firstDataRow="1" firstDataCol="0"/>
  <pivotFields count="9">
    <pivotField showAll="0"/>
    <pivotField showAll="0"/>
    <pivotField showAll="0"/>
    <pivotField numFmtId="3" showAll="0"/>
    <pivotField numFmtId="9" showAll="0"/>
    <pivotField showAll="0">
      <items count="4">
        <item x="0"/>
        <item x="2"/>
        <item x="1"/>
        <item t="default"/>
      </items>
    </pivotField>
    <pivotField showAll="0"/>
    <pivotField dataField="1" showAll="0"/>
    <pivotField showAll="0">
      <items count="4">
        <item x="1"/>
        <item x="0"/>
        <item x="2"/>
        <item t="default"/>
      </items>
    </pivotField>
  </pivotFields>
  <rowItems count="1">
    <i/>
  </rowItems>
  <colItems count="1">
    <i/>
  </colItems>
  <dataFields count="1">
    <dataField name="Average Rating" fld="7" subtotal="average" baseField="0" baseItem="1957684096" numFmtId="2"/>
  </dataFields>
  <formats count="16">
    <format dxfId="231">
      <pivotArea type="all" dataOnly="0" outline="0" fieldPosition="0"/>
    </format>
    <format dxfId="230">
      <pivotArea outline="0" collapsedLevelsAreSubtotals="1" fieldPosition="0"/>
    </format>
    <format dxfId="229">
      <pivotArea dataOnly="0" labelOnly="1" outline="0" axis="axisValues"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dataOnly="0" labelOnly="1" outline="0" axis="axisValues" fieldPosition="0"/>
    </format>
    <format dxfId="223">
      <pivotArea type="all" dataOnly="0" outline="0" fieldPosition="0"/>
    </format>
    <format dxfId="222">
      <pivotArea outline="0" collapsedLevelsAreSubtotals="1" fieldPosition="0"/>
    </format>
    <format dxfId="221">
      <pivotArea dataOnly="0" labelOnly="1" outline="0" axis="axisValues" fieldPosition="0"/>
    </format>
    <format dxfId="220">
      <pivotArea dataOnly="0" labelOnly="1" outline="0" axis="axisValues" fieldPosition="0"/>
    </format>
    <format dxfId="219">
      <pivotArea type="all" dataOnly="0" outline="0" fieldPosition="0"/>
    </format>
    <format dxfId="218">
      <pivotArea outline="0" collapsedLevelsAreSubtotals="1" fieldPosition="0"/>
    </format>
    <format dxfId="217">
      <pivotArea dataOnly="0" labelOnly="1" outline="0" axis="axisValues" fieldPosition="0"/>
    </format>
    <format dxfId="2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4:B5" firstHeaderRow="1" firstDataRow="1" firstDataCol="0"/>
  <pivotFields count="9">
    <pivotField dataField="1" showAll="0"/>
    <pivotField showAll="0"/>
    <pivotField showAll="0"/>
    <pivotField numFmtId="3" showAll="0"/>
    <pivotField numFmtId="9" showAll="0"/>
    <pivotField showAll="0">
      <items count="4">
        <item x="0"/>
        <item x="2"/>
        <item x="1"/>
        <item t="default"/>
      </items>
    </pivotField>
    <pivotField showAll="0"/>
    <pivotField showAll="0"/>
    <pivotField showAll="0">
      <items count="4">
        <item x="1"/>
        <item x="0"/>
        <item x="2"/>
        <item t="default"/>
      </items>
    </pivotField>
  </pivotFields>
  <rowItems count="1">
    <i/>
  </rowItems>
  <colItems count="1">
    <i/>
  </colItems>
  <dataFields count="1">
    <dataField name="Total Products" fld="0" subtotal="count" baseField="0" baseItem="1957684096"/>
  </dataFields>
  <formats count="12">
    <format dxfId="243">
      <pivotArea type="all" dataOnly="0" outline="0" fieldPosition="0"/>
    </format>
    <format dxfId="242">
      <pivotArea outline="0" collapsedLevelsAreSubtotals="1" fieldPosition="0"/>
    </format>
    <format dxfId="241">
      <pivotArea dataOnly="0" labelOnly="1" outline="0" axis="axisValues" fieldPosition="0"/>
    </format>
    <format dxfId="240">
      <pivotArea dataOnly="0" labelOnly="1" outline="0" axis="axisValues" fieldPosition="0"/>
    </format>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dataOnly="0" labelOnly="1" outline="0" axis="axisValues" fieldPosition="0"/>
    </format>
    <format dxfId="235">
      <pivotArea type="all" dataOnly="0" outline="0" fieldPosition="0"/>
    </format>
    <format dxfId="234">
      <pivotArea outline="0" collapsedLevelsAreSubtotals="1" fieldPosition="0"/>
    </format>
    <format dxfId="233">
      <pivotArea dataOnly="0" labelOnly="1" outline="0" axis="axisValues" fieldPosition="0"/>
    </format>
    <format dxfId="2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iscount_Category" sourceName="Discount Category">
  <pivotTables>
    <pivotTable tabId="2" name="PivotTable1"/>
    <pivotTable tabId="13" name="PivotTable20"/>
    <pivotTable tabId="13" name="PivotTable21"/>
    <pivotTable tabId="13" name="PivotTable22"/>
    <pivotTable tabId="13" name="PivotTable23"/>
    <pivotTable tabId="7" name="PivotTable6"/>
    <pivotTable tabId="8" name="PivotTable7"/>
    <pivotTable tabId="12" name="PivotTable11"/>
    <pivotTable tabId="12" name="PivotTable12"/>
    <pivotTable tabId="12" name="PivotTable13"/>
    <pivotTable tabId="12" name="PivotTable14"/>
    <pivotTable tabId="3" name="PivotTable2"/>
    <pivotTable tabId="6" name="PivotTable5"/>
    <pivotTable tabId="5" name="PivotTable4"/>
    <pivotTable tabId="10" name="PivotTable9"/>
    <pivotTable tabId="9" name="PivotTable8"/>
    <pivotTable tabId="11" name="PivotTable10"/>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ating_Category" sourceName="Rating Category">
  <pivotTables>
    <pivotTable tabId="3" name="PivotTable2"/>
    <pivotTable tabId="2" name="PivotTable1"/>
    <pivotTable tabId="13" name="PivotTable20"/>
    <pivotTable tabId="13" name="PivotTable21"/>
    <pivotTable tabId="13" name="PivotTable22"/>
    <pivotTable tabId="13" name="PivotTable23"/>
    <pivotTable tabId="7" name="PivotTable6"/>
    <pivotTable tabId="8" name="PivotTable7"/>
    <pivotTable tabId="12" name="PivotTable11"/>
    <pivotTable tabId="12" name="PivotTable12"/>
    <pivotTable tabId="12" name="PivotTable13"/>
    <pivotTable tabId="12" name="PivotTable14"/>
    <pivotTable tabId="6" name="PivotTable5"/>
    <pivotTable tabId="5" name="PivotTable4"/>
    <pivotTable tabId="10" name="PivotTable9"/>
    <pivotTable tabId="9" name="PivotTable8"/>
    <pivotTable tabId="11" name="PivotTable10"/>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iscount Category" cache="Slicer_Discount_Category"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ating Category" cache="Slicer_Rating_Category" caption="Rating 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Discount Category 1" cache="Slicer_Discount_Category" caption="Discount Category" rowHeight="241300"/>
  <slicer name="Rating Category 1" cache="Slicer_Rating_Category" caption="Rating Category" rowHeight="241300"/>
</slicers>
</file>

<file path=xl/theme/theme1.xml><?xml version="1.0" encoding="utf-8"?>
<a:theme xmlns:a="http://schemas.openxmlformats.org/drawingml/2006/main" name="Office Theme">
  <a:themeElements>
    <a:clrScheme name="Jumia 2">
      <a:dk1>
        <a:srgbClr val="222222"/>
      </a:dk1>
      <a:lt1>
        <a:srgbClr val="FFFFFF"/>
      </a:lt1>
      <a:dk2>
        <a:srgbClr val="44546A"/>
      </a:dk2>
      <a:lt2>
        <a:srgbClr val="E7E6E6"/>
      </a:lt2>
      <a:accent1>
        <a:srgbClr val="F68B1E"/>
      </a:accent1>
      <a:accent2>
        <a:srgbClr val="0066CC"/>
      </a:accent2>
      <a:accent3>
        <a:srgbClr val="009966"/>
      </a:accent3>
      <a:accent4>
        <a:srgbClr val="DC3912"/>
      </a:accent4>
      <a:accent5>
        <a:srgbClr val="A0A0A0"/>
      </a:accent5>
      <a:accent6>
        <a:srgbClr val="E6E6E6"/>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rinterSettings" Target="../printerSettings/printerSettings1.bin"/><Relationship Id="rId4" Type="http://schemas.openxmlformats.org/officeDocument/2006/relationships/pivotTable" Target="../pivotTables/pivotTable13.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10.xml"/><Relationship Id="rId5" Type="http://schemas.openxmlformats.org/officeDocument/2006/relationships/printerSettings" Target="../printerSettings/printerSettings2.bin"/><Relationship Id="rId4"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A3" sqref="A3"/>
    </sheetView>
  </sheetViews>
  <sheetFormatPr defaultRowHeight="14.5" x14ac:dyDescent="0.35"/>
  <cols>
    <col min="1" max="1" width="12.36328125" bestFit="1" customWidth="1"/>
    <col min="2" max="2" width="21.81640625" bestFit="1" customWidth="1"/>
    <col min="3" max="3" width="16.36328125" bestFit="1" customWidth="1"/>
  </cols>
  <sheetData>
    <row r="3" spans="1:3" x14ac:dyDescent="0.35">
      <c r="A3" s="5" t="s">
        <v>116</v>
      </c>
      <c r="B3" t="s">
        <v>125</v>
      </c>
      <c r="C3" t="s">
        <v>126</v>
      </c>
    </row>
    <row r="4" spans="1:3" x14ac:dyDescent="0.35">
      <c r="A4" s="7" t="s">
        <v>120</v>
      </c>
      <c r="B4" s="8">
        <v>705.12903225806451</v>
      </c>
      <c r="C4" s="8">
        <v>3.7561290322580607</v>
      </c>
    </row>
    <row r="5" spans="1:3" x14ac:dyDescent="0.35">
      <c r="A5" s="7" t="s">
        <v>118</v>
      </c>
      <c r="B5" s="8">
        <v>175.66666666666666</v>
      </c>
      <c r="C5" s="8">
        <v>3.8533333333333335</v>
      </c>
    </row>
    <row r="6" spans="1:3" x14ac:dyDescent="0.35">
      <c r="A6" s="7" t="s">
        <v>119</v>
      </c>
      <c r="B6" s="8">
        <v>719.50687500000004</v>
      </c>
      <c r="C6" s="8">
        <v>4.1690624999999999</v>
      </c>
    </row>
    <row r="7" spans="1:3" x14ac:dyDescent="0.35">
      <c r="A7" s="7" t="s">
        <v>117</v>
      </c>
      <c r="B7" s="8">
        <v>624.14482142857139</v>
      </c>
      <c r="C7" s="8">
        <v>3.8897321428571385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4.5" x14ac:dyDescent="0.35"/>
  <cols>
    <col min="1" max="1" width="12.36328125" customWidth="1"/>
    <col min="2" max="2" width="15.26953125" bestFit="1" customWidth="1"/>
  </cols>
  <sheetData>
    <row r="3" spans="1:2" x14ac:dyDescent="0.35">
      <c r="A3" s="5" t="s">
        <v>116</v>
      </c>
      <c r="B3" t="s">
        <v>130</v>
      </c>
    </row>
    <row r="4" spans="1:2" x14ac:dyDescent="0.35">
      <c r="A4" s="7" t="s">
        <v>128</v>
      </c>
      <c r="B4" s="8">
        <v>77</v>
      </c>
    </row>
    <row r="5" spans="1:2" x14ac:dyDescent="0.35">
      <c r="A5" s="7" t="s">
        <v>127</v>
      </c>
      <c r="B5" s="8">
        <v>23</v>
      </c>
    </row>
    <row r="6" spans="1:2" x14ac:dyDescent="0.35">
      <c r="A6" s="7" t="s">
        <v>129</v>
      </c>
      <c r="B6" s="8">
        <v>12</v>
      </c>
    </row>
    <row r="7" spans="1:2" x14ac:dyDescent="0.35">
      <c r="A7" s="7" t="s">
        <v>117</v>
      </c>
      <c r="B7" s="8">
        <v>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1"/>
  <sheetViews>
    <sheetView workbookViewId="0">
      <selection activeCell="A4" sqref="A4:B10"/>
    </sheetView>
  </sheetViews>
  <sheetFormatPr defaultRowHeight="14.5" x14ac:dyDescent="0.35"/>
  <cols>
    <col min="1" max="1" width="12.36328125" bestFit="1" customWidth="1"/>
    <col min="2" max="2" width="14.54296875" bestFit="1" customWidth="1"/>
  </cols>
  <sheetData>
    <row r="3" spans="1:2" x14ac:dyDescent="0.35">
      <c r="A3" s="5" t="s">
        <v>116</v>
      </c>
      <c r="B3" t="s">
        <v>139</v>
      </c>
    </row>
    <row r="4" spans="1:2" x14ac:dyDescent="0.35">
      <c r="A4" s="6" t="s">
        <v>132</v>
      </c>
      <c r="B4" s="8">
        <v>12</v>
      </c>
    </row>
    <row r="5" spans="1:2" x14ac:dyDescent="0.35">
      <c r="A5" s="6" t="s">
        <v>133</v>
      </c>
      <c r="B5" s="8">
        <v>7</v>
      </c>
    </row>
    <row r="6" spans="1:2" x14ac:dyDescent="0.35">
      <c r="A6" s="6" t="s">
        <v>134</v>
      </c>
      <c r="B6" s="8">
        <v>13</v>
      </c>
    </row>
    <row r="7" spans="1:2" x14ac:dyDescent="0.35">
      <c r="A7" s="6" t="s">
        <v>135</v>
      </c>
      <c r="B7" s="8">
        <v>18</v>
      </c>
    </row>
    <row r="8" spans="1:2" x14ac:dyDescent="0.35">
      <c r="A8" s="6" t="s">
        <v>136</v>
      </c>
      <c r="B8" s="8">
        <v>50</v>
      </c>
    </row>
    <row r="9" spans="1:2" x14ac:dyDescent="0.35">
      <c r="A9" s="6" t="s">
        <v>137</v>
      </c>
      <c r="B9" s="8">
        <v>10</v>
      </c>
    </row>
    <row r="10" spans="1:2" x14ac:dyDescent="0.35">
      <c r="A10" s="6" t="s">
        <v>138</v>
      </c>
      <c r="B10" s="8">
        <v>2</v>
      </c>
    </row>
    <row r="11" spans="1:2" x14ac:dyDescent="0.35">
      <c r="A11" s="6" t="s">
        <v>117</v>
      </c>
      <c r="B11" s="8">
        <v>112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zoomScale="80" zoomScaleNormal="80" workbookViewId="0">
      <selection activeCell="A4" sqref="A4:B26"/>
    </sheetView>
  </sheetViews>
  <sheetFormatPr defaultRowHeight="14.5" x14ac:dyDescent="0.35"/>
  <cols>
    <col min="1" max="1" width="13.36328125" bestFit="1" customWidth="1"/>
    <col min="2" max="2" width="13.81640625" bestFit="1" customWidth="1"/>
  </cols>
  <sheetData>
    <row r="3" spans="1:2" x14ac:dyDescent="0.35">
      <c r="A3" s="5" t="s">
        <v>116</v>
      </c>
      <c r="B3" t="s">
        <v>131</v>
      </c>
    </row>
    <row r="4" spans="1:2" x14ac:dyDescent="0.35">
      <c r="A4" s="7">
        <v>2</v>
      </c>
      <c r="B4" s="8">
        <v>1</v>
      </c>
    </row>
    <row r="5" spans="1:2" x14ac:dyDescent="0.35">
      <c r="A5" s="7">
        <v>2.1</v>
      </c>
      <c r="B5" s="8">
        <v>20</v>
      </c>
    </row>
    <row r="6" spans="1:2" x14ac:dyDescent="0.35">
      <c r="A6" s="7">
        <v>2.2000000000000002</v>
      </c>
      <c r="B6" s="8">
        <v>12</v>
      </c>
    </row>
    <row r="7" spans="1:2" x14ac:dyDescent="0.35">
      <c r="A7" s="7">
        <v>2.2999999999999998</v>
      </c>
      <c r="B7" s="8">
        <v>13</v>
      </c>
    </row>
    <row r="8" spans="1:2" x14ac:dyDescent="0.35">
      <c r="A8" s="7">
        <v>2.5</v>
      </c>
      <c r="B8" s="8">
        <v>6</v>
      </c>
    </row>
    <row r="9" spans="1:2" x14ac:dyDescent="0.35">
      <c r="A9" s="7">
        <v>2.6</v>
      </c>
      <c r="B9" s="8">
        <v>17</v>
      </c>
    </row>
    <row r="10" spans="1:2" x14ac:dyDescent="0.35">
      <c r="A10" s="7">
        <v>2.7</v>
      </c>
      <c r="B10" s="8">
        <v>15</v>
      </c>
    </row>
    <row r="11" spans="1:2" x14ac:dyDescent="0.35">
      <c r="A11" s="7">
        <v>2.8</v>
      </c>
      <c r="B11" s="8">
        <v>69</v>
      </c>
    </row>
    <row r="12" spans="1:2" x14ac:dyDescent="0.35">
      <c r="A12" s="7">
        <v>2.9</v>
      </c>
      <c r="B12" s="8">
        <v>16</v>
      </c>
    </row>
    <row r="13" spans="1:2" x14ac:dyDescent="0.35">
      <c r="A13" s="7">
        <v>3</v>
      </c>
      <c r="B13" s="8">
        <v>26</v>
      </c>
    </row>
    <row r="14" spans="1:2" x14ac:dyDescent="0.35">
      <c r="A14" s="7">
        <v>3.3</v>
      </c>
      <c r="B14" s="8">
        <v>13</v>
      </c>
    </row>
    <row r="15" spans="1:2" x14ac:dyDescent="0.35">
      <c r="A15" s="7">
        <v>3.8</v>
      </c>
      <c r="B15" s="8">
        <v>30</v>
      </c>
    </row>
    <row r="16" spans="1:2" x14ac:dyDescent="0.35">
      <c r="A16" s="7">
        <v>3.89</v>
      </c>
      <c r="B16" s="8">
        <v>0</v>
      </c>
    </row>
    <row r="17" spans="1:2" x14ac:dyDescent="0.35">
      <c r="A17" s="7">
        <v>4</v>
      </c>
      <c r="B17" s="8">
        <v>24</v>
      </c>
    </row>
    <row r="18" spans="1:2" x14ac:dyDescent="0.35">
      <c r="A18" s="7">
        <v>4.0999999999999996</v>
      </c>
      <c r="B18" s="8">
        <v>46</v>
      </c>
    </row>
    <row r="19" spans="1:2" x14ac:dyDescent="0.35">
      <c r="A19" s="7">
        <v>4.2</v>
      </c>
      <c r="B19" s="8">
        <v>9</v>
      </c>
    </row>
    <row r="20" spans="1:2" x14ac:dyDescent="0.35">
      <c r="A20" s="7">
        <v>4.3</v>
      </c>
      <c r="B20" s="8">
        <v>61</v>
      </c>
    </row>
    <row r="21" spans="1:2" x14ac:dyDescent="0.35">
      <c r="A21" s="7">
        <v>4.4000000000000004</v>
      </c>
      <c r="B21" s="8">
        <v>14</v>
      </c>
    </row>
    <row r="22" spans="1:2" x14ac:dyDescent="0.35">
      <c r="A22" s="7">
        <v>4.5</v>
      </c>
      <c r="B22" s="8">
        <v>42</v>
      </c>
    </row>
    <row r="23" spans="1:2" x14ac:dyDescent="0.35">
      <c r="A23" s="7">
        <v>4.5999999999999996</v>
      </c>
      <c r="B23" s="8">
        <v>177</v>
      </c>
    </row>
    <row r="24" spans="1:2" x14ac:dyDescent="0.35">
      <c r="A24" s="7">
        <v>4.7</v>
      </c>
      <c r="B24" s="8">
        <v>78</v>
      </c>
    </row>
    <row r="25" spans="1:2" x14ac:dyDescent="0.35">
      <c r="A25" s="7">
        <v>4.8</v>
      </c>
      <c r="B25" s="8">
        <v>22</v>
      </c>
    </row>
    <row r="26" spans="1:2" x14ac:dyDescent="0.35">
      <c r="A26" s="7">
        <v>5</v>
      </c>
      <c r="B26" s="8">
        <v>12</v>
      </c>
    </row>
    <row r="27" spans="1:2" x14ac:dyDescent="0.35">
      <c r="A27" s="7" t="s">
        <v>117</v>
      </c>
      <c r="B27" s="8">
        <v>723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zoomScale="80" zoomScaleNormal="80" workbookViewId="0">
      <selection activeCell="A4" sqref="A4:B13"/>
    </sheetView>
  </sheetViews>
  <sheetFormatPr defaultRowHeight="14.5" x14ac:dyDescent="0.35"/>
  <cols>
    <col min="1" max="1" width="13.36328125" bestFit="1" customWidth="1"/>
    <col min="2" max="2" width="13.81640625" bestFit="1" customWidth="1"/>
  </cols>
  <sheetData>
    <row r="3" spans="1:2" x14ac:dyDescent="0.35">
      <c r="A3" s="5" t="s">
        <v>116</v>
      </c>
      <c r="B3" t="s">
        <v>131</v>
      </c>
    </row>
    <row r="4" spans="1:2" x14ac:dyDescent="0.35">
      <c r="A4" s="9" t="s">
        <v>140</v>
      </c>
      <c r="B4" s="8">
        <v>129</v>
      </c>
    </row>
    <row r="5" spans="1:2" x14ac:dyDescent="0.35">
      <c r="A5" s="9" t="s">
        <v>141</v>
      </c>
      <c r="B5" s="8">
        <v>250</v>
      </c>
    </row>
    <row r="6" spans="1:2" x14ac:dyDescent="0.35">
      <c r="A6" s="9" t="s">
        <v>142</v>
      </c>
      <c r="B6" s="8">
        <v>200</v>
      </c>
    </row>
    <row r="7" spans="1:2" x14ac:dyDescent="0.35">
      <c r="A7" s="9" t="s">
        <v>143</v>
      </c>
      <c r="B7" s="8">
        <v>89</v>
      </c>
    </row>
    <row r="8" spans="1:2" x14ac:dyDescent="0.35">
      <c r="A8" s="9" t="s">
        <v>144</v>
      </c>
      <c r="B8" s="8">
        <v>1</v>
      </c>
    </row>
    <row r="9" spans="1:2" x14ac:dyDescent="0.35">
      <c r="A9" s="9" t="s">
        <v>145</v>
      </c>
      <c r="B9" s="8">
        <v>12</v>
      </c>
    </row>
    <row r="10" spans="1:2" x14ac:dyDescent="0.35">
      <c r="A10" s="9" t="s">
        <v>146</v>
      </c>
      <c r="B10" s="8">
        <v>14</v>
      </c>
    </row>
    <row r="11" spans="1:2" x14ac:dyDescent="0.35">
      <c r="A11" s="9" t="s">
        <v>147</v>
      </c>
      <c r="B11" s="8">
        <v>3</v>
      </c>
    </row>
    <row r="12" spans="1:2" x14ac:dyDescent="0.35">
      <c r="A12" s="9" t="s">
        <v>148</v>
      </c>
      <c r="B12" s="8">
        <v>12</v>
      </c>
    </row>
    <row r="13" spans="1:2" x14ac:dyDescent="0.35">
      <c r="A13" s="9" t="s">
        <v>149</v>
      </c>
      <c r="B13" s="8">
        <v>13</v>
      </c>
    </row>
    <row r="14" spans="1:2" x14ac:dyDescent="0.35">
      <c r="A14" s="9" t="s">
        <v>117</v>
      </c>
      <c r="B14" s="8">
        <v>723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zoomScale="90" zoomScaleNormal="90" workbookViewId="0">
      <selection activeCell="A4" sqref="A4:B6"/>
    </sheetView>
  </sheetViews>
  <sheetFormatPr defaultRowHeight="14.5" x14ac:dyDescent="0.35"/>
  <cols>
    <col min="1" max="1" width="12.90625" bestFit="1" customWidth="1"/>
    <col min="2" max="2" width="13.453125" bestFit="1" customWidth="1"/>
  </cols>
  <sheetData>
    <row r="3" spans="1:2" x14ac:dyDescent="0.35">
      <c r="A3" s="5" t="s">
        <v>116</v>
      </c>
      <c r="B3" t="s">
        <v>131</v>
      </c>
    </row>
    <row r="4" spans="1:2" x14ac:dyDescent="0.35">
      <c r="A4" s="7" t="s">
        <v>128</v>
      </c>
      <c r="B4" s="8">
        <v>223</v>
      </c>
    </row>
    <row r="5" spans="1:2" x14ac:dyDescent="0.35">
      <c r="A5" s="7" t="s">
        <v>127</v>
      </c>
      <c r="B5" s="8">
        <v>331</v>
      </c>
    </row>
    <row r="6" spans="1:2" x14ac:dyDescent="0.35">
      <c r="A6" s="7" t="s">
        <v>129</v>
      </c>
      <c r="B6" s="8">
        <v>169</v>
      </c>
    </row>
    <row r="7" spans="1:2" x14ac:dyDescent="0.35">
      <c r="A7" s="7" t="s">
        <v>117</v>
      </c>
      <c r="B7" s="8">
        <v>723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4" sqref="B4:B14"/>
    </sheetView>
  </sheetViews>
  <sheetFormatPr defaultRowHeight="14.5" x14ac:dyDescent="0.35"/>
  <cols>
    <col min="1" max="1" width="69.54296875" customWidth="1"/>
    <col min="2" max="2" width="14.54296875" customWidth="1"/>
  </cols>
  <sheetData>
    <row r="3" spans="1:2" x14ac:dyDescent="0.35">
      <c r="A3" s="5" t="s">
        <v>116</v>
      </c>
      <c r="B3" t="s">
        <v>121</v>
      </c>
    </row>
    <row r="4" spans="1:2" x14ac:dyDescent="0.35">
      <c r="A4" s="7" t="s">
        <v>34</v>
      </c>
      <c r="B4" s="8">
        <v>1.1000000000000001</v>
      </c>
    </row>
    <row r="5" spans="1:2" x14ac:dyDescent="0.35">
      <c r="A5" s="7" t="s">
        <v>39</v>
      </c>
      <c r="B5" s="8">
        <v>1</v>
      </c>
    </row>
    <row r="6" spans="1:2" x14ac:dyDescent="0.35">
      <c r="A6" s="7" t="s">
        <v>41</v>
      </c>
      <c r="B6" s="8">
        <v>0.98</v>
      </c>
    </row>
    <row r="7" spans="1:2" x14ac:dyDescent="0.35">
      <c r="A7" s="7" t="s">
        <v>78</v>
      </c>
      <c r="B7" s="8">
        <v>0.64</v>
      </c>
    </row>
    <row r="8" spans="1:2" x14ac:dyDescent="0.35">
      <c r="A8" s="7" t="s">
        <v>8</v>
      </c>
      <c r="B8" s="8">
        <v>0.55000000000000004</v>
      </c>
    </row>
    <row r="9" spans="1:2" x14ac:dyDescent="0.35">
      <c r="A9" s="7" t="s">
        <v>101</v>
      </c>
      <c r="B9" s="8">
        <v>0.55000000000000004</v>
      </c>
    </row>
    <row r="10" spans="1:2" x14ac:dyDescent="0.35">
      <c r="A10" s="7" t="s">
        <v>21</v>
      </c>
      <c r="B10" s="8">
        <v>0.54</v>
      </c>
    </row>
    <row r="11" spans="1:2" x14ac:dyDescent="0.35">
      <c r="A11" s="7" t="s">
        <v>43</v>
      </c>
      <c r="B11" s="8">
        <v>0.54</v>
      </c>
    </row>
    <row r="12" spans="1:2" x14ac:dyDescent="0.35">
      <c r="A12" s="7" t="s">
        <v>18</v>
      </c>
      <c r="B12" s="8">
        <v>0.53</v>
      </c>
    </row>
    <row r="13" spans="1:2" x14ac:dyDescent="0.35">
      <c r="A13" s="7" t="s">
        <v>28</v>
      </c>
      <c r="B13" s="8">
        <v>0.53</v>
      </c>
    </row>
    <row r="14" spans="1:2" x14ac:dyDescent="0.35">
      <c r="A14" s="7" t="s">
        <v>117</v>
      </c>
      <c r="B14" s="8">
        <v>6.96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E8" sqref="E8"/>
    </sheetView>
  </sheetViews>
  <sheetFormatPr defaultRowHeight="14.5" x14ac:dyDescent="0.35"/>
  <cols>
    <col min="1" max="1" width="60.1796875" customWidth="1"/>
    <col min="2" max="2" width="13.08984375" bestFit="1" customWidth="1"/>
  </cols>
  <sheetData>
    <row r="3" spans="1:2" x14ac:dyDescent="0.35">
      <c r="A3" s="5" t="s">
        <v>116</v>
      </c>
      <c r="B3" t="s">
        <v>131</v>
      </c>
    </row>
    <row r="4" spans="1:2" x14ac:dyDescent="0.35">
      <c r="A4" s="7" t="s">
        <v>44</v>
      </c>
      <c r="B4" s="8">
        <v>69</v>
      </c>
    </row>
    <row r="5" spans="1:2" x14ac:dyDescent="0.35">
      <c r="A5" s="7" t="s">
        <v>6</v>
      </c>
      <c r="B5" s="8">
        <v>55</v>
      </c>
    </row>
    <row r="6" spans="1:2" x14ac:dyDescent="0.35">
      <c r="A6" s="7" t="s">
        <v>22</v>
      </c>
      <c r="B6" s="8">
        <v>49</v>
      </c>
    </row>
    <row r="7" spans="1:2" x14ac:dyDescent="0.35">
      <c r="A7" s="7" t="s">
        <v>17</v>
      </c>
      <c r="B7" s="8">
        <v>44</v>
      </c>
    </row>
    <row r="8" spans="1:2" x14ac:dyDescent="0.35">
      <c r="A8" s="7" t="s">
        <v>11</v>
      </c>
      <c r="B8" s="8">
        <v>39</v>
      </c>
    </row>
    <row r="9" spans="1:2" x14ac:dyDescent="0.35">
      <c r="A9" s="7" t="s">
        <v>93</v>
      </c>
      <c r="B9" s="8">
        <v>36</v>
      </c>
    </row>
    <row r="10" spans="1:2" x14ac:dyDescent="0.35">
      <c r="A10" s="7" t="s">
        <v>92</v>
      </c>
      <c r="B10" s="8">
        <v>32</v>
      </c>
    </row>
    <row r="11" spans="1:2" x14ac:dyDescent="0.35">
      <c r="A11" s="7" t="s">
        <v>82</v>
      </c>
      <c r="B11" s="8">
        <v>24</v>
      </c>
    </row>
    <row r="12" spans="1:2" x14ac:dyDescent="0.35">
      <c r="A12" s="7" t="s">
        <v>91</v>
      </c>
      <c r="B12" s="8">
        <v>20</v>
      </c>
    </row>
    <row r="13" spans="1:2" x14ac:dyDescent="0.35">
      <c r="A13" s="7" t="s">
        <v>25</v>
      </c>
      <c r="B13" s="8">
        <v>20</v>
      </c>
    </row>
    <row r="14" spans="1:2" x14ac:dyDescent="0.35">
      <c r="A14" s="7" t="s">
        <v>117</v>
      </c>
      <c r="B14" s="8">
        <v>388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B13" sqref="B13"/>
    </sheetView>
  </sheetViews>
  <sheetFormatPr defaultRowHeight="14.5" x14ac:dyDescent="0.35"/>
  <cols>
    <col min="1" max="1" width="64.453125" customWidth="1"/>
    <col min="2" max="2" width="13.26953125" bestFit="1" customWidth="1"/>
  </cols>
  <sheetData>
    <row r="3" spans="1:2" x14ac:dyDescent="0.35">
      <c r="A3" s="5" t="s">
        <v>116</v>
      </c>
      <c r="B3" t="s">
        <v>124</v>
      </c>
    </row>
    <row r="4" spans="1:2" x14ac:dyDescent="0.35">
      <c r="A4" s="7" t="s">
        <v>41</v>
      </c>
      <c r="B4" s="8">
        <v>7.78</v>
      </c>
    </row>
    <row r="5" spans="1:2" x14ac:dyDescent="0.35">
      <c r="A5" s="7" t="s">
        <v>85</v>
      </c>
      <c r="B5" s="8">
        <v>5</v>
      </c>
    </row>
    <row r="6" spans="1:2" x14ac:dyDescent="0.35">
      <c r="A6" s="7" t="s">
        <v>106</v>
      </c>
      <c r="B6" s="8">
        <v>5</v>
      </c>
    </row>
    <row r="7" spans="1:2" x14ac:dyDescent="0.35">
      <c r="A7" s="7" t="s">
        <v>28</v>
      </c>
      <c r="B7" s="8">
        <v>5</v>
      </c>
    </row>
    <row r="8" spans="1:2" x14ac:dyDescent="0.35">
      <c r="A8" s="7" t="s">
        <v>34</v>
      </c>
      <c r="B8" s="8">
        <v>7.78</v>
      </c>
    </row>
    <row r="9" spans="1:2" x14ac:dyDescent="0.35">
      <c r="A9" s="7" t="s">
        <v>27</v>
      </c>
      <c r="B9" s="8">
        <v>5</v>
      </c>
    </row>
    <row r="10" spans="1:2" x14ac:dyDescent="0.35">
      <c r="A10" s="7" t="s">
        <v>110</v>
      </c>
      <c r="B10" s="8">
        <v>5</v>
      </c>
    </row>
    <row r="11" spans="1:2" x14ac:dyDescent="0.35">
      <c r="A11" s="7" t="s">
        <v>86</v>
      </c>
      <c r="B11" s="8">
        <v>5</v>
      </c>
    </row>
    <row r="12" spans="1:2" x14ac:dyDescent="0.35">
      <c r="A12" s="7" t="s">
        <v>15</v>
      </c>
      <c r="B12" s="8">
        <v>5</v>
      </c>
    </row>
    <row r="13" spans="1:2" x14ac:dyDescent="0.35">
      <c r="A13" s="7" t="s">
        <v>39</v>
      </c>
      <c r="B13" s="8">
        <v>7.78</v>
      </c>
    </row>
    <row r="14" spans="1:2" x14ac:dyDescent="0.35">
      <c r="A14" s="7" t="s">
        <v>117</v>
      </c>
      <c r="B14" s="8">
        <v>58.34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6" sqref="C6:C7"/>
    </sheetView>
  </sheetViews>
  <sheetFormatPr defaultRowHeight="14.5" x14ac:dyDescent="0.35"/>
  <cols>
    <col min="1" max="1" width="13.36328125" customWidth="1"/>
    <col min="2" max="2" width="13.26953125" bestFit="1" customWidth="1"/>
    <col min="3" max="3" width="12.26953125" customWidth="1"/>
    <col min="4" max="4" width="13.08984375" bestFit="1" customWidth="1"/>
  </cols>
  <sheetData>
    <row r="3" spans="1:3" x14ac:dyDescent="0.35">
      <c r="A3" t="s">
        <v>150</v>
      </c>
      <c r="C3" s="17" t="s">
        <v>152</v>
      </c>
    </row>
    <row r="4" spans="1:3" x14ac:dyDescent="0.35">
      <c r="A4" s="8">
        <v>112</v>
      </c>
      <c r="C4" s="17">
        <v>0.36776785714285704</v>
      </c>
    </row>
    <row r="6" spans="1:3" x14ac:dyDescent="0.35">
      <c r="A6" s="10" t="s">
        <v>151</v>
      </c>
      <c r="C6" s="14" t="s">
        <v>153</v>
      </c>
    </row>
    <row r="7" spans="1:3" x14ac:dyDescent="0.35">
      <c r="A7" s="10">
        <v>3.8897321428571368</v>
      </c>
      <c r="C7" s="14">
        <v>723</v>
      </c>
    </row>
  </sheetData>
  <pageMargins left="0.7" right="0.7" top="0.75" bottom="0.75" header="0.3" footer="0.3"/>
  <pageSetup orientation="portrait"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E5"/>
  <sheetViews>
    <sheetView tabSelected="1" topLeftCell="A4" zoomScaleNormal="100" workbookViewId="0">
      <selection activeCell="M23" sqref="M23"/>
    </sheetView>
  </sheetViews>
  <sheetFormatPr defaultRowHeight="14.5" x14ac:dyDescent="0.35"/>
  <cols>
    <col min="1" max="1" width="8.7265625" style="18"/>
    <col min="2" max="2" width="13.08984375" style="18" bestFit="1" customWidth="1"/>
    <col min="3" max="3" width="13.36328125" style="18" bestFit="1" customWidth="1"/>
    <col min="4" max="4" width="15.453125" style="18" bestFit="1" customWidth="1"/>
    <col min="5" max="5" width="12.26953125" style="18" bestFit="1" customWidth="1"/>
    <col min="6" max="16384" width="8.7265625" style="18"/>
  </cols>
  <sheetData>
    <row r="4" spans="2:5" x14ac:dyDescent="0.35">
      <c r="B4" s="23" t="s">
        <v>150</v>
      </c>
      <c r="C4" s="21" t="s">
        <v>151</v>
      </c>
      <c r="D4" s="19" t="s">
        <v>152</v>
      </c>
      <c r="E4" s="22" t="s">
        <v>153</v>
      </c>
    </row>
    <row r="5" spans="2:5" x14ac:dyDescent="0.35">
      <c r="B5" s="20">
        <v>112</v>
      </c>
      <c r="C5" s="21">
        <v>3.8897321428571368</v>
      </c>
      <c r="D5" s="19">
        <v>0.36776785714285704</v>
      </c>
      <c r="E5" s="22">
        <v>723</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3"/>
  <sheetViews>
    <sheetView workbookViewId="0">
      <pane ySplit="1" topLeftCell="A71" activePane="bottomLeft" state="frozen"/>
      <selection pane="bottomLeft" activeCell="I1" activeCellId="3" sqref="F84 A1:A1048576 F1:F1048576 I1:I1048576"/>
    </sheetView>
  </sheetViews>
  <sheetFormatPr defaultRowHeight="14.5" x14ac:dyDescent="0.35"/>
  <cols>
    <col min="1" max="1" width="19.7265625" style="15" customWidth="1"/>
    <col min="2" max="4" width="11.1796875" style="12" bestFit="1" customWidth="1"/>
    <col min="5" max="5" width="8.7265625" style="1"/>
    <col min="6" max="6" width="12.90625" style="15" customWidth="1"/>
    <col min="7" max="7" width="8.7265625" style="14" customWidth="1"/>
    <col min="8" max="8" width="8.7265625" style="14"/>
    <col min="9" max="9" width="14.08984375" style="15" customWidth="1"/>
  </cols>
  <sheetData>
    <row r="1" spans="1:9" s="2" customFormat="1" x14ac:dyDescent="0.35">
      <c r="A1" s="16" t="s">
        <v>0</v>
      </c>
      <c r="B1" s="11" t="s">
        <v>1</v>
      </c>
      <c r="C1" s="11" t="s">
        <v>80</v>
      </c>
      <c r="D1" s="11" t="s">
        <v>123</v>
      </c>
      <c r="E1" s="4" t="s">
        <v>2</v>
      </c>
      <c r="F1" s="16" t="s">
        <v>115</v>
      </c>
      <c r="G1" s="13" t="s">
        <v>3</v>
      </c>
      <c r="H1" s="13" t="s">
        <v>122</v>
      </c>
      <c r="I1" s="16" t="s">
        <v>114</v>
      </c>
    </row>
    <row r="2" spans="1:9" x14ac:dyDescent="0.35">
      <c r="A2" s="15" t="s">
        <v>85</v>
      </c>
      <c r="B2" s="12">
        <v>332</v>
      </c>
      <c r="C2" s="12">
        <v>684</v>
      </c>
      <c r="D2" s="12">
        <f t="shared" ref="D2:D33" si="0">C2-B2</f>
        <v>352</v>
      </c>
      <c r="E2" s="1">
        <v>0.51</v>
      </c>
      <c r="F2" s="15" t="str">
        <f t="shared" ref="F2:F33" si="1">IF(E2&lt;0.2,"Low",IF(E2&lt;=0.4,"Medium","High"))</f>
        <v>High</v>
      </c>
      <c r="G2" s="14">
        <v>2</v>
      </c>
      <c r="H2" s="14">
        <v>5</v>
      </c>
      <c r="I2" s="15" t="str">
        <f t="shared" ref="I2:I33" si="2">IF(H2&lt;3, "Poor",IF(H2 &lt;=4.4, "Average", "Excellent"))</f>
        <v>Excellent</v>
      </c>
    </row>
    <row r="3" spans="1:9" x14ac:dyDescent="0.35">
      <c r="A3" s="15" t="s">
        <v>15</v>
      </c>
      <c r="B3" s="12">
        <v>195</v>
      </c>
      <c r="C3" s="12">
        <v>360</v>
      </c>
      <c r="D3" s="12">
        <f t="shared" si="0"/>
        <v>165</v>
      </c>
      <c r="E3" s="1">
        <v>0.46</v>
      </c>
      <c r="F3" s="15" t="str">
        <f t="shared" si="1"/>
        <v>High</v>
      </c>
      <c r="G3" s="14">
        <v>2</v>
      </c>
      <c r="H3" s="14">
        <v>5</v>
      </c>
      <c r="I3" s="15" t="str">
        <f t="shared" si="2"/>
        <v>Excellent</v>
      </c>
    </row>
    <row r="4" spans="1:9" x14ac:dyDescent="0.35">
      <c r="A4" s="15" t="s">
        <v>86</v>
      </c>
      <c r="B4" s="12">
        <v>2025</v>
      </c>
      <c r="C4" s="12">
        <v>3971</v>
      </c>
      <c r="D4" s="12">
        <f t="shared" si="0"/>
        <v>1946</v>
      </c>
      <c r="E4" s="1">
        <v>0.49</v>
      </c>
      <c r="F4" s="15" t="str">
        <f t="shared" si="1"/>
        <v>High</v>
      </c>
      <c r="G4" s="14">
        <v>3</v>
      </c>
      <c r="H4" s="14">
        <v>5</v>
      </c>
      <c r="I4" s="15" t="str">
        <f t="shared" si="2"/>
        <v>Excellent</v>
      </c>
    </row>
    <row r="5" spans="1:9" x14ac:dyDescent="0.35">
      <c r="A5" s="15" t="s">
        <v>27</v>
      </c>
      <c r="B5" s="12">
        <v>1620</v>
      </c>
      <c r="C5" s="12">
        <v>2690</v>
      </c>
      <c r="D5" s="12">
        <f t="shared" si="0"/>
        <v>1070</v>
      </c>
      <c r="E5" s="1">
        <v>0.4</v>
      </c>
      <c r="F5" s="15" t="str">
        <f t="shared" si="1"/>
        <v>Medium</v>
      </c>
      <c r="G5" s="14">
        <v>1</v>
      </c>
      <c r="H5" s="14">
        <v>5</v>
      </c>
      <c r="I5" s="15" t="str">
        <f t="shared" si="2"/>
        <v>Excellent</v>
      </c>
    </row>
    <row r="6" spans="1:9" x14ac:dyDescent="0.35">
      <c r="A6" s="15" t="s">
        <v>28</v>
      </c>
      <c r="B6" s="12">
        <v>171</v>
      </c>
      <c r="C6" s="12">
        <v>360</v>
      </c>
      <c r="D6" s="12">
        <f t="shared" si="0"/>
        <v>189</v>
      </c>
      <c r="E6" s="1">
        <v>0.53</v>
      </c>
      <c r="F6" s="15" t="str">
        <f t="shared" si="1"/>
        <v>High</v>
      </c>
      <c r="G6" s="14">
        <v>2</v>
      </c>
      <c r="H6" s="14">
        <v>5</v>
      </c>
      <c r="I6" s="15" t="str">
        <f t="shared" si="2"/>
        <v>Excellent</v>
      </c>
    </row>
    <row r="7" spans="1:9" x14ac:dyDescent="0.35">
      <c r="A7" s="15" t="s">
        <v>106</v>
      </c>
      <c r="B7" s="12">
        <v>979</v>
      </c>
      <c r="C7" s="12">
        <v>1920</v>
      </c>
      <c r="D7" s="12">
        <f t="shared" si="0"/>
        <v>941</v>
      </c>
      <c r="E7" s="1">
        <v>0.49</v>
      </c>
      <c r="F7" s="15" t="str">
        <f t="shared" si="1"/>
        <v>High</v>
      </c>
      <c r="G7" s="14">
        <v>1</v>
      </c>
      <c r="H7" s="14">
        <v>5</v>
      </c>
      <c r="I7" s="15" t="str">
        <f t="shared" si="2"/>
        <v>Excellent</v>
      </c>
    </row>
    <row r="8" spans="1:9" x14ac:dyDescent="0.35">
      <c r="A8" s="15" t="s">
        <v>110</v>
      </c>
      <c r="B8" s="12">
        <v>3640</v>
      </c>
      <c r="C8" s="12">
        <v>4588</v>
      </c>
      <c r="D8" s="12">
        <f t="shared" si="0"/>
        <v>948</v>
      </c>
      <c r="E8" s="1">
        <v>0.21</v>
      </c>
      <c r="F8" s="15" t="str">
        <f t="shared" si="1"/>
        <v>Medium</v>
      </c>
      <c r="G8" s="14">
        <v>1</v>
      </c>
      <c r="H8" s="14">
        <v>5</v>
      </c>
      <c r="I8" s="15" t="str">
        <f t="shared" si="2"/>
        <v>Excellent</v>
      </c>
    </row>
    <row r="9" spans="1:9" x14ac:dyDescent="0.35">
      <c r="A9" s="15" t="s">
        <v>84</v>
      </c>
      <c r="B9" s="12">
        <v>1740</v>
      </c>
      <c r="C9" s="12">
        <v>2356</v>
      </c>
      <c r="D9" s="12">
        <f t="shared" si="0"/>
        <v>616</v>
      </c>
      <c r="E9" s="1">
        <v>0.26</v>
      </c>
      <c r="F9" s="15" t="str">
        <f t="shared" si="1"/>
        <v>Medium</v>
      </c>
      <c r="G9" s="14">
        <v>5</v>
      </c>
      <c r="H9" s="14">
        <v>4.8</v>
      </c>
      <c r="I9" s="15" t="str">
        <f t="shared" si="2"/>
        <v>Excellent</v>
      </c>
    </row>
    <row r="10" spans="1:9" x14ac:dyDescent="0.35">
      <c r="A10" s="15" t="s">
        <v>8</v>
      </c>
      <c r="B10" s="12">
        <v>1274</v>
      </c>
      <c r="C10" s="12">
        <v>2800</v>
      </c>
      <c r="D10" s="12">
        <f t="shared" si="0"/>
        <v>1526</v>
      </c>
      <c r="E10" s="1">
        <v>0.55000000000000004</v>
      </c>
      <c r="F10" s="15" t="str">
        <f t="shared" si="1"/>
        <v>High</v>
      </c>
      <c r="G10" s="14">
        <v>5</v>
      </c>
      <c r="H10" s="14">
        <v>4.8</v>
      </c>
      <c r="I10" s="15" t="str">
        <f t="shared" si="2"/>
        <v>Excellent</v>
      </c>
    </row>
    <row r="11" spans="1:9" x14ac:dyDescent="0.35">
      <c r="A11" s="15" t="s">
        <v>12</v>
      </c>
      <c r="B11" s="12">
        <v>552</v>
      </c>
      <c r="C11" s="12">
        <v>1035</v>
      </c>
      <c r="D11" s="12">
        <f t="shared" si="0"/>
        <v>483</v>
      </c>
      <c r="E11" s="1">
        <v>0.47</v>
      </c>
      <c r="F11" s="15" t="str">
        <f t="shared" si="1"/>
        <v>High</v>
      </c>
      <c r="G11" s="14">
        <v>12</v>
      </c>
      <c r="H11" s="14">
        <v>4.8</v>
      </c>
      <c r="I11" s="15" t="str">
        <f t="shared" si="2"/>
        <v>Excellent</v>
      </c>
    </row>
    <row r="12" spans="1:9" x14ac:dyDescent="0.35">
      <c r="A12" s="15" t="s">
        <v>83</v>
      </c>
      <c r="B12" s="12">
        <v>1580</v>
      </c>
      <c r="C12" s="12">
        <v>2499</v>
      </c>
      <c r="D12" s="12">
        <f t="shared" si="0"/>
        <v>919</v>
      </c>
      <c r="E12" s="1">
        <v>0.37</v>
      </c>
      <c r="F12" s="15" t="str">
        <f t="shared" si="1"/>
        <v>Medium</v>
      </c>
      <c r="G12" s="14">
        <v>7</v>
      </c>
      <c r="H12" s="14">
        <v>4.7</v>
      </c>
      <c r="I12" s="15" t="str">
        <f t="shared" si="2"/>
        <v>Excellent</v>
      </c>
    </row>
    <row r="13" spans="1:9" x14ac:dyDescent="0.35">
      <c r="A13" s="15" t="s">
        <v>11</v>
      </c>
      <c r="B13" s="12">
        <v>990</v>
      </c>
      <c r="C13" s="12">
        <v>1500</v>
      </c>
      <c r="D13" s="12">
        <f t="shared" si="0"/>
        <v>510</v>
      </c>
      <c r="E13" s="1">
        <v>0.34</v>
      </c>
      <c r="F13" s="15" t="str">
        <f t="shared" si="1"/>
        <v>Medium</v>
      </c>
      <c r="G13" s="14">
        <v>39</v>
      </c>
      <c r="H13" s="14">
        <v>4.7</v>
      </c>
      <c r="I13" s="15" t="str">
        <f t="shared" si="2"/>
        <v>Excellent</v>
      </c>
    </row>
    <row r="14" spans="1:9" x14ac:dyDescent="0.35">
      <c r="A14" s="15" t="s">
        <v>26</v>
      </c>
      <c r="B14" s="12">
        <v>980</v>
      </c>
      <c r="C14" s="12">
        <v>1490</v>
      </c>
      <c r="D14" s="12">
        <f t="shared" si="0"/>
        <v>510</v>
      </c>
      <c r="E14" s="1">
        <v>0.34</v>
      </c>
      <c r="F14" s="15" t="str">
        <f t="shared" si="1"/>
        <v>Medium</v>
      </c>
      <c r="G14" s="14">
        <v>12</v>
      </c>
      <c r="H14" s="14">
        <v>4.7</v>
      </c>
      <c r="I14" s="15" t="str">
        <f t="shared" si="2"/>
        <v>Excellent</v>
      </c>
    </row>
    <row r="15" spans="1:9" x14ac:dyDescent="0.35">
      <c r="A15" s="15" t="s">
        <v>91</v>
      </c>
      <c r="B15" s="12">
        <v>1940</v>
      </c>
      <c r="C15" s="12">
        <v>2650</v>
      </c>
      <c r="D15" s="12">
        <f t="shared" si="0"/>
        <v>710</v>
      </c>
      <c r="E15" s="1">
        <v>0.27</v>
      </c>
      <c r="F15" s="15" t="str">
        <f t="shared" si="1"/>
        <v>Medium</v>
      </c>
      <c r="G15" s="14">
        <v>20</v>
      </c>
      <c r="H15" s="14">
        <v>4.7</v>
      </c>
      <c r="I15" s="15" t="str">
        <f t="shared" si="2"/>
        <v>Excellent</v>
      </c>
    </row>
    <row r="16" spans="1:9" x14ac:dyDescent="0.35">
      <c r="A16" s="15" t="s">
        <v>82</v>
      </c>
      <c r="B16" s="12">
        <v>2199</v>
      </c>
      <c r="C16" s="12">
        <v>2923</v>
      </c>
      <c r="D16" s="12">
        <f t="shared" si="0"/>
        <v>724</v>
      </c>
      <c r="E16" s="1">
        <v>0.25</v>
      </c>
      <c r="F16" s="15" t="str">
        <f t="shared" si="1"/>
        <v>Medium</v>
      </c>
      <c r="G16" s="14">
        <v>24</v>
      </c>
      <c r="H16" s="14">
        <v>4.5999999999999996</v>
      </c>
      <c r="I16" s="15" t="str">
        <f t="shared" si="2"/>
        <v>Excellent</v>
      </c>
    </row>
    <row r="17" spans="1:9" x14ac:dyDescent="0.35">
      <c r="A17" s="15" t="s">
        <v>6</v>
      </c>
      <c r="B17" s="12">
        <v>2319</v>
      </c>
      <c r="C17" s="12">
        <v>3032</v>
      </c>
      <c r="D17" s="12">
        <f t="shared" si="0"/>
        <v>713</v>
      </c>
      <c r="E17" s="1">
        <v>0.24</v>
      </c>
      <c r="F17" s="15" t="str">
        <f t="shared" si="1"/>
        <v>Medium</v>
      </c>
      <c r="G17" s="14">
        <v>55</v>
      </c>
      <c r="H17" s="14">
        <v>4.5999999999999996</v>
      </c>
      <c r="I17" s="15" t="str">
        <f t="shared" si="2"/>
        <v>Excellent</v>
      </c>
    </row>
    <row r="18" spans="1:9" x14ac:dyDescent="0.35">
      <c r="A18" s="15" t="s">
        <v>16</v>
      </c>
      <c r="B18" s="12">
        <v>2999</v>
      </c>
      <c r="C18" s="12">
        <v>3699</v>
      </c>
      <c r="D18" s="12">
        <f t="shared" si="0"/>
        <v>700</v>
      </c>
      <c r="E18" s="1">
        <v>0.19</v>
      </c>
      <c r="F18" s="15" t="str">
        <f t="shared" si="1"/>
        <v>Low</v>
      </c>
      <c r="G18" s="14">
        <v>5</v>
      </c>
      <c r="H18" s="14">
        <v>4.5999999999999996</v>
      </c>
      <c r="I18" s="15" t="str">
        <f t="shared" si="2"/>
        <v>Excellent</v>
      </c>
    </row>
    <row r="19" spans="1:9" x14ac:dyDescent="0.35">
      <c r="A19" s="15" t="s">
        <v>17</v>
      </c>
      <c r="B19" s="12">
        <v>998</v>
      </c>
      <c r="C19" s="12">
        <v>1966</v>
      </c>
      <c r="D19" s="12">
        <f t="shared" si="0"/>
        <v>968</v>
      </c>
      <c r="E19" s="1">
        <v>0.49</v>
      </c>
      <c r="F19" s="15" t="str">
        <f t="shared" si="1"/>
        <v>High</v>
      </c>
      <c r="G19" s="14">
        <v>44</v>
      </c>
      <c r="H19" s="14">
        <v>4.5999999999999996</v>
      </c>
      <c r="I19" s="15" t="str">
        <f t="shared" si="2"/>
        <v>Excellent</v>
      </c>
    </row>
    <row r="20" spans="1:9" x14ac:dyDescent="0.35">
      <c r="A20" s="15" t="s">
        <v>22</v>
      </c>
      <c r="B20" s="12">
        <v>420</v>
      </c>
      <c r="C20" s="12">
        <v>647</v>
      </c>
      <c r="D20" s="12">
        <f t="shared" si="0"/>
        <v>227</v>
      </c>
      <c r="E20" s="1">
        <v>0.35</v>
      </c>
      <c r="F20" s="15" t="str">
        <f t="shared" si="1"/>
        <v>Medium</v>
      </c>
      <c r="G20" s="14">
        <v>49</v>
      </c>
      <c r="H20" s="14">
        <v>4.5999999999999996</v>
      </c>
      <c r="I20" s="15" t="str">
        <f t="shared" si="2"/>
        <v>Excellent</v>
      </c>
    </row>
    <row r="21" spans="1:9" x14ac:dyDescent="0.35">
      <c r="A21" s="15" t="s">
        <v>4</v>
      </c>
      <c r="B21" s="12">
        <v>953.89</v>
      </c>
      <c r="C21" s="12">
        <v>1525</v>
      </c>
      <c r="D21" s="12">
        <f t="shared" si="0"/>
        <v>571.11</v>
      </c>
      <c r="E21" s="1">
        <v>0.38</v>
      </c>
      <c r="F21" s="15" t="str">
        <f t="shared" si="1"/>
        <v>Medium</v>
      </c>
      <c r="G21" s="14">
        <v>2</v>
      </c>
      <c r="H21" s="14">
        <v>4.5</v>
      </c>
      <c r="I21" s="15" t="str">
        <f t="shared" si="2"/>
        <v>Excellent</v>
      </c>
    </row>
    <row r="22" spans="1:9" x14ac:dyDescent="0.35">
      <c r="A22" s="15" t="s">
        <v>13</v>
      </c>
      <c r="B22" s="12">
        <v>501</v>
      </c>
      <c r="C22" s="12">
        <v>860</v>
      </c>
      <c r="D22" s="12">
        <f t="shared" si="0"/>
        <v>359</v>
      </c>
      <c r="E22" s="1">
        <v>0.42</v>
      </c>
      <c r="F22" s="15" t="str">
        <f t="shared" si="1"/>
        <v>High</v>
      </c>
      <c r="G22" s="14">
        <v>6</v>
      </c>
      <c r="H22" s="14">
        <v>4.5</v>
      </c>
      <c r="I22" s="15" t="str">
        <f t="shared" si="2"/>
        <v>Excellent</v>
      </c>
    </row>
    <row r="23" spans="1:9" x14ac:dyDescent="0.35">
      <c r="A23" s="15" t="s">
        <v>92</v>
      </c>
      <c r="B23" s="12">
        <v>1980</v>
      </c>
      <c r="C23" s="12">
        <v>2699</v>
      </c>
      <c r="D23" s="12">
        <f t="shared" si="0"/>
        <v>719</v>
      </c>
      <c r="E23" s="1">
        <v>0.27</v>
      </c>
      <c r="F23" s="15" t="str">
        <f t="shared" si="1"/>
        <v>Medium</v>
      </c>
      <c r="G23" s="14">
        <v>32</v>
      </c>
      <c r="H23" s="14">
        <v>4.5</v>
      </c>
      <c r="I23" s="15" t="str">
        <f t="shared" si="2"/>
        <v>Excellent</v>
      </c>
    </row>
    <row r="24" spans="1:9" x14ac:dyDescent="0.35">
      <c r="A24" s="15" t="s">
        <v>94</v>
      </c>
      <c r="B24" s="12">
        <v>1800</v>
      </c>
      <c r="C24" s="12">
        <v>2700</v>
      </c>
      <c r="D24" s="12">
        <f t="shared" si="0"/>
        <v>900</v>
      </c>
      <c r="E24" s="1">
        <v>0.38</v>
      </c>
      <c r="F24" s="15" t="str">
        <f t="shared" si="1"/>
        <v>Medium</v>
      </c>
      <c r="G24" s="14">
        <v>2</v>
      </c>
      <c r="H24" s="14">
        <v>4.5</v>
      </c>
      <c r="I24" s="15" t="str">
        <f t="shared" si="2"/>
        <v>Excellent</v>
      </c>
    </row>
    <row r="25" spans="1:9" x14ac:dyDescent="0.35">
      <c r="A25" s="15" t="s">
        <v>20</v>
      </c>
      <c r="B25" s="12">
        <v>1653.89</v>
      </c>
      <c r="C25" s="12">
        <v>2150</v>
      </c>
      <c r="D25" s="12">
        <f t="shared" si="0"/>
        <v>496.1099999999999</v>
      </c>
      <c r="E25" s="1">
        <v>0.23</v>
      </c>
      <c r="F25" s="15" t="str">
        <f t="shared" si="1"/>
        <v>Medium</v>
      </c>
      <c r="G25" s="14">
        <v>14</v>
      </c>
      <c r="H25" s="14">
        <v>4.4000000000000004</v>
      </c>
      <c r="I25" s="15" t="str">
        <f t="shared" si="2"/>
        <v>Average</v>
      </c>
    </row>
    <row r="26" spans="1:9" x14ac:dyDescent="0.35">
      <c r="A26" s="15" t="s">
        <v>21</v>
      </c>
      <c r="B26" s="12">
        <v>2048</v>
      </c>
      <c r="C26" s="12">
        <v>4500</v>
      </c>
      <c r="D26" s="12">
        <f t="shared" si="0"/>
        <v>2452</v>
      </c>
      <c r="E26" s="1">
        <v>0.54</v>
      </c>
      <c r="F26" s="15" t="str">
        <f t="shared" si="1"/>
        <v>High</v>
      </c>
      <c r="G26" s="14">
        <v>7</v>
      </c>
      <c r="H26" s="14">
        <v>4.3</v>
      </c>
      <c r="I26" s="15" t="str">
        <f t="shared" si="2"/>
        <v>Average</v>
      </c>
    </row>
    <row r="27" spans="1:9" x14ac:dyDescent="0.35">
      <c r="A27" s="15" t="s">
        <v>89</v>
      </c>
      <c r="B27" s="12">
        <v>185</v>
      </c>
      <c r="C27" s="12">
        <v>382</v>
      </c>
      <c r="D27" s="12">
        <f t="shared" si="0"/>
        <v>197</v>
      </c>
      <c r="E27" s="1">
        <v>0.52</v>
      </c>
      <c r="F27" s="15" t="str">
        <f t="shared" si="1"/>
        <v>High</v>
      </c>
      <c r="G27" s="14">
        <v>9</v>
      </c>
      <c r="H27" s="14">
        <v>4.3</v>
      </c>
      <c r="I27" s="15" t="str">
        <f t="shared" si="2"/>
        <v>Average</v>
      </c>
    </row>
    <row r="28" spans="1:9" x14ac:dyDescent="0.35">
      <c r="A28" s="15" t="s">
        <v>90</v>
      </c>
      <c r="B28" s="12">
        <v>1820</v>
      </c>
      <c r="C28" s="12">
        <v>3490</v>
      </c>
      <c r="D28" s="12">
        <f t="shared" si="0"/>
        <v>1670</v>
      </c>
      <c r="E28" s="1">
        <v>0.48</v>
      </c>
      <c r="F28" s="15" t="str">
        <f t="shared" si="1"/>
        <v>High</v>
      </c>
      <c r="G28" s="14">
        <v>9</v>
      </c>
      <c r="H28" s="14">
        <v>4.3</v>
      </c>
      <c r="I28" s="15" t="str">
        <f t="shared" si="2"/>
        <v>Average</v>
      </c>
    </row>
    <row r="29" spans="1:9" x14ac:dyDescent="0.35">
      <c r="A29" s="15" t="s">
        <v>93</v>
      </c>
      <c r="B29" s="12">
        <v>389</v>
      </c>
      <c r="C29" s="12">
        <v>656</v>
      </c>
      <c r="D29" s="12">
        <f t="shared" si="0"/>
        <v>267</v>
      </c>
      <c r="E29" s="1">
        <v>0.41</v>
      </c>
      <c r="F29" s="15" t="str">
        <f t="shared" si="1"/>
        <v>High</v>
      </c>
      <c r="G29" s="14">
        <v>36</v>
      </c>
      <c r="H29" s="14">
        <v>4.3</v>
      </c>
      <c r="I29" s="15" t="str">
        <f t="shared" si="2"/>
        <v>Average</v>
      </c>
    </row>
    <row r="30" spans="1:9" x14ac:dyDescent="0.35">
      <c r="A30" s="15" t="s">
        <v>14</v>
      </c>
      <c r="B30" s="12">
        <v>1680</v>
      </c>
      <c r="C30" s="12">
        <v>2499</v>
      </c>
      <c r="D30" s="12">
        <f t="shared" si="0"/>
        <v>819</v>
      </c>
      <c r="E30" s="1">
        <v>0.33</v>
      </c>
      <c r="F30" s="15" t="str">
        <f t="shared" si="1"/>
        <v>Medium</v>
      </c>
      <c r="G30" s="14">
        <v>9</v>
      </c>
      <c r="H30" s="14">
        <v>4.2</v>
      </c>
      <c r="I30" s="15" t="str">
        <f t="shared" si="2"/>
        <v>Average</v>
      </c>
    </row>
    <row r="31" spans="1:9" x14ac:dyDescent="0.35">
      <c r="A31" s="15" t="s">
        <v>81</v>
      </c>
      <c r="B31" s="12">
        <v>527</v>
      </c>
      <c r="C31" s="12">
        <v>999</v>
      </c>
      <c r="D31" s="12">
        <f t="shared" si="0"/>
        <v>472</v>
      </c>
      <c r="E31" s="1">
        <v>0.47</v>
      </c>
      <c r="F31" s="15" t="str">
        <f t="shared" si="1"/>
        <v>High</v>
      </c>
      <c r="G31" s="14">
        <v>14</v>
      </c>
      <c r="H31" s="14">
        <v>4.0999999999999996</v>
      </c>
      <c r="I31" s="15" t="str">
        <f t="shared" si="2"/>
        <v>Average</v>
      </c>
    </row>
    <row r="32" spans="1:9" x14ac:dyDescent="0.35">
      <c r="A32" s="15" t="s">
        <v>10</v>
      </c>
      <c r="B32" s="12">
        <v>799</v>
      </c>
      <c r="C32" s="12">
        <v>999</v>
      </c>
      <c r="D32" s="12">
        <f t="shared" si="0"/>
        <v>200</v>
      </c>
      <c r="E32" s="1">
        <v>0.2</v>
      </c>
      <c r="F32" s="15" t="str">
        <f t="shared" si="1"/>
        <v>Medium</v>
      </c>
      <c r="G32" s="14">
        <v>12</v>
      </c>
      <c r="H32" s="14">
        <v>4.0999999999999996</v>
      </c>
      <c r="I32" s="15" t="str">
        <f t="shared" si="2"/>
        <v>Average</v>
      </c>
    </row>
    <row r="33" spans="1:11" x14ac:dyDescent="0.35">
      <c r="A33" s="15" t="s">
        <v>25</v>
      </c>
      <c r="B33" s="12">
        <v>1758</v>
      </c>
      <c r="C33" s="12">
        <v>2499</v>
      </c>
      <c r="D33" s="12">
        <f t="shared" si="0"/>
        <v>741</v>
      </c>
      <c r="E33" s="1">
        <v>0.3</v>
      </c>
      <c r="F33" s="15" t="str">
        <f t="shared" si="1"/>
        <v>Medium</v>
      </c>
      <c r="G33" s="14">
        <v>20</v>
      </c>
      <c r="H33" s="14">
        <v>4.0999999999999996</v>
      </c>
      <c r="I33" s="15" t="str">
        <f t="shared" si="2"/>
        <v>Average</v>
      </c>
    </row>
    <row r="34" spans="1:11" x14ac:dyDescent="0.35">
      <c r="A34" s="15" t="s">
        <v>5</v>
      </c>
      <c r="B34" s="12">
        <v>2999</v>
      </c>
      <c r="C34" s="12">
        <v>3290</v>
      </c>
      <c r="D34" s="12">
        <f t="shared" ref="D34:D65" si="3">C34-B34</f>
        <v>291</v>
      </c>
      <c r="E34" s="1">
        <v>0.09</v>
      </c>
      <c r="F34" s="15" t="str">
        <f t="shared" ref="F34:F65" si="4">IF(E34&lt;0.2,"Low",IF(E34&lt;=0.4,"Medium","High"))</f>
        <v>Low</v>
      </c>
      <c r="G34" s="14">
        <v>15</v>
      </c>
      <c r="H34" s="14">
        <v>4</v>
      </c>
      <c r="I34" s="15" t="str">
        <f t="shared" ref="I34:I65" si="5">IF(H34&lt;3, "Poor",IF(H34 &lt;=4.4, "Average", "Excellent"))</f>
        <v>Average</v>
      </c>
    </row>
    <row r="35" spans="1:11" x14ac:dyDescent="0.35">
      <c r="A35" s="15" t="s">
        <v>7</v>
      </c>
      <c r="B35" s="12">
        <v>988</v>
      </c>
      <c r="C35" s="12">
        <v>1580</v>
      </c>
      <c r="D35" s="12">
        <f t="shared" si="3"/>
        <v>592</v>
      </c>
      <c r="E35" s="1">
        <v>0.37</v>
      </c>
      <c r="F35" s="15" t="str">
        <f t="shared" si="4"/>
        <v>Medium</v>
      </c>
      <c r="G35" s="14">
        <v>2</v>
      </c>
      <c r="H35" s="14">
        <v>4</v>
      </c>
      <c r="I35" s="15" t="str">
        <f t="shared" si="5"/>
        <v>Average</v>
      </c>
    </row>
    <row r="36" spans="1:11" x14ac:dyDescent="0.35">
      <c r="A36" s="15" t="s">
        <v>87</v>
      </c>
      <c r="B36" s="12">
        <v>883.89</v>
      </c>
      <c r="C36" s="12">
        <v>1353.89</v>
      </c>
      <c r="D36" s="12">
        <f t="shared" si="3"/>
        <v>470.00000000000011</v>
      </c>
      <c r="E36" s="1">
        <v>0.35</v>
      </c>
      <c r="F36" s="15" t="str">
        <f t="shared" si="4"/>
        <v>Medium</v>
      </c>
      <c r="G36" s="14">
        <v>6</v>
      </c>
      <c r="H36" s="14">
        <v>4</v>
      </c>
      <c r="I36" s="15" t="str">
        <f t="shared" si="5"/>
        <v>Average</v>
      </c>
    </row>
    <row r="37" spans="1:11" x14ac:dyDescent="0.35">
      <c r="A37" s="15" t="s">
        <v>59</v>
      </c>
      <c r="B37" s="12">
        <v>330</v>
      </c>
      <c r="C37" s="12">
        <v>647</v>
      </c>
      <c r="D37" s="12">
        <f t="shared" si="3"/>
        <v>317</v>
      </c>
      <c r="E37" s="1">
        <v>0.49</v>
      </c>
      <c r="F37" s="15" t="str">
        <f t="shared" si="4"/>
        <v>High</v>
      </c>
      <c r="G37" s="14">
        <v>1</v>
      </c>
      <c r="H37" s="14">
        <v>4</v>
      </c>
      <c r="I37" s="15" t="str">
        <f t="shared" si="5"/>
        <v>Average</v>
      </c>
    </row>
    <row r="38" spans="1:11" x14ac:dyDescent="0.35">
      <c r="A38" s="15" t="s">
        <v>19</v>
      </c>
      <c r="B38" s="12">
        <v>1860</v>
      </c>
      <c r="C38" s="12">
        <v>3220</v>
      </c>
      <c r="D38" s="12">
        <f t="shared" si="3"/>
        <v>1360</v>
      </c>
      <c r="E38" s="1">
        <v>0.42</v>
      </c>
      <c r="F38" s="15" t="str">
        <f t="shared" si="4"/>
        <v>High</v>
      </c>
      <c r="G38" s="14">
        <v>0</v>
      </c>
      <c r="H38" s="14">
        <v>3.89</v>
      </c>
      <c r="I38" s="15" t="str">
        <f t="shared" si="5"/>
        <v>Average</v>
      </c>
    </row>
    <row r="39" spans="1:11" x14ac:dyDescent="0.35">
      <c r="A39" s="15" t="s">
        <v>88</v>
      </c>
      <c r="B39" s="12">
        <v>2200</v>
      </c>
      <c r="C39" s="12">
        <v>4080</v>
      </c>
      <c r="D39" s="12">
        <f t="shared" si="3"/>
        <v>1880</v>
      </c>
      <c r="E39" s="1">
        <v>0.46</v>
      </c>
      <c r="F39" s="15" t="str">
        <f t="shared" si="4"/>
        <v>High</v>
      </c>
      <c r="G39" s="14">
        <v>0</v>
      </c>
      <c r="H39" s="14">
        <v>3.89</v>
      </c>
      <c r="I39" s="15" t="str">
        <f t="shared" si="5"/>
        <v>Average</v>
      </c>
    </row>
    <row r="40" spans="1:11" x14ac:dyDescent="0.35">
      <c r="A40" s="15" t="s">
        <v>95</v>
      </c>
      <c r="B40" s="12">
        <v>2750</v>
      </c>
      <c r="C40" s="12">
        <v>4471</v>
      </c>
      <c r="D40" s="12">
        <f t="shared" si="3"/>
        <v>1721</v>
      </c>
      <c r="E40" s="1">
        <v>0.38</v>
      </c>
      <c r="F40" s="15" t="str">
        <f t="shared" si="4"/>
        <v>Medium</v>
      </c>
      <c r="G40" s="14">
        <v>0</v>
      </c>
      <c r="H40" s="14">
        <v>3.89</v>
      </c>
      <c r="I40" s="15" t="str">
        <f t="shared" si="5"/>
        <v>Average</v>
      </c>
      <c r="K40" s="3"/>
    </row>
    <row r="41" spans="1:11" x14ac:dyDescent="0.35">
      <c r="A41" s="15" t="s">
        <v>96</v>
      </c>
      <c r="B41" s="12">
        <v>475</v>
      </c>
      <c r="C41" s="12">
        <v>931</v>
      </c>
      <c r="D41" s="12">
        <f t="shared" si="3"/>
        <v>456</v>
      </c>
      <c r="E41" s="1">
        <v>0.49</v>
      </c>
      <c r="F41" s="15" t="str">
        <f t="shared" si="4"/>
        <v>High</v>
      </c>
      <c r="G41" s="14">
        <v>0</v>
      </c>
      <c r="H41" s="14">
        <v>3.89</v>
      </c>
      <c r="I41" s="15" t="str">
        <f t="shared" si="5"/>
        <v>Average</v>
      </c>
    </row>
    <row r="42" spans="1:11" x14ac:dyDescent="0.35">
      <c r="A42" s="15" t="s">
        <v>97</v>
      </c>
      <c r="B42" s="12">
        <v>238</v>
      </c>
      <c r="C42" s="12">
        <v>476</v>
      </c>
      <c r="D42" s="12">
        <f t="shared" si="3"/>
        <v>238</v>
      </c>
      <c r="E42" s="1">
        <v>0.5</v>
      </c>
      <c r="F42" s="15" t="str">
        <f t="shared" si="4"/>
        <v>High</v>
      </c>
      <c r="G42" s="14">
        <v>0</v>
      </c>
      <c r="H42" s="14">
        <v>3.89</v>
      </c>
      <c r="I42" s="15" t="str">
        <f t="shared" si="5"/>
        <v>Average</v>
      </c>
    </row>
    <row r="43" spans="1:11" x14ac:dyDescent="0.35">
      <c r="A43" s="15" t="s">
        <v>29</v>
      </c>
      <c r="B43" s="12">
        <v>610</v>
      </c>
      <c r="C43" s="12">
        <v>1060</v>
      </c>
      <c r="D43" s="12">
        <f t="shared" si="3"/>
        <v>450</v>
      </c>
      <c r="E43" s="1">
        <v>0.42</v>
      </c>
      <c r="F43" s="15" t="str">
        <f t="shared" si="4"/>
        <v>High</v>
      </c>
      <c r="G43" s="14">
        <v>0</v>
      </c>
      <c r="H43" s="14">
        <v>3.89</v>
      </c>
      <c r="I43" s="15" t="str">
        <f t="shared" si="5"/>
        <v>Average</v>
      </c>
    </row>
    <row r="44" spans="1:11" x14ac:dyDescent="0.35">
      <c r="A44" s="15" t="s">
        <v>30</v>
      </c>
      <c r="B44" s="12">
        <v>2132</v>
      </c>
      <c r="C44" s="12">
        <v>2169</v>
      </c>
      <c r="D44" s="12">
        <f t="shared" si="3"/>
        <v>37</v>
      </c>
      <c r="E44" s="1">
        <v>0.02</v>
      </c>
      <c r="F44" s="15" t="str">
        <f t="shared" si="4"/>
        <v>Low</v>
      </c>
      <c r="G44" s="14">
        <v>0</v>
      </c>
      <c r="H44" s="14">
        <v>3.89</v>
      </c>
      <c r="I44" s="15" t="str">
        <f t="shared" si="5"/>
        <v>Average</v>
      </c>
    </row>
    <row r="45" spans="1:11" x14ac:dyDescent="0.35">
      <c r="A45" s="15" t="s">
        <v>31</v>
      </c>
      <c r="B45" s="12">
        <v>999</v>
      </c>
      <c r="C45" s="12">
        <v>2000</v>
      </c>
      <c r="D45" s="12">
        <f t="shared" si="3"/>
        <v>1001</v>
      </c>
      <c r="E45" s="1">
        <v>0.5</v>
      </c>
      <c r="F45" s="15" t="str">
        <f t="shared" si="4"/>
        <v>High</v>
      </c>
      <c r="G45" s="14">
        <v>0</v>
      </c>
      <c r="H45" s="14">
        <v>3.89</v>
      </c>
      <c r="I45" s="15" t="str">
        <f t="shared" si="5"/>
        <v>Average</v>
      </c>
    </row>
    <row r="46" spans="1:11" x14ac:dyDescent="0.35">
      <c r="A46" s="15" t="s">
        <v>98</v>
      </c>
      <c r="B46" s="12">
        <v>1190</v>
      </c>
      <c r="C46" s="12">
        <v>1785</v>
      </c>
      <c r="D46" s="12">
        <f t="shared" si="3"/>
        <v>595</v>
      </c>
      <c r="E46" s="1">
        <v>0.33</v>
      </c>
      <c r="F46" s="15" t="str">
        <f t="shared" si="4"/>
        <v>Medium</v>
      </c>
      <c r="G46" s="14">
        <v>0</v>
      </c>
      <c r="H46" s="14">
        <v>3.89</v>
      </c>
      <c r="I46" s="15" t="str">
        <f t="shared" si="5"/>
        <v>Average</v>
      </c>
    </row>
    <row r="47" spans="1:11" x14ac:dyDescent="0.35">
      <c r="A47" s="15" t="s">
        <v>32</v>
      </c>
      <c r="B47" s="12">
        <v>671</v>
      </c>
      <c r="C47" s="12">
        <v>1316</v>
      </c>
      <c r="D47" s="12">
        <f t="shared" si="3"/>
        <v>645</v>
      </c>
      <c r="E47" s="1">
        <v>0.49</v>
      </c>
      <c r="F47" s="15" t="str">
        <f t="shared" si="4"/>
        <v>High</v>
      </c>
      <c r="G47" s="14">
        <v>0</v>
      </c>
      <c r="H47" s="14">
        <v>3.89</v>
      </c>
      <c r="I47" s="15" t="str">
        <f t="shared" si="5"/>
        <v>Average</v>
      </c>
    </row>
    <row r="48" spans="1:11" x14ac:dyDescent="0.35">
      <c r="A48" s="15" t="s">
        <v>33</v>
      </c>
      <c r="B48" s="12">
        <v>1200</v>
      </c>
      <c r="C48" s="12">
        <v>1950</v>
      </c>
      <c r="D48" s="12">
        <f t="shared" si="3"/>
        <v>750</v>
      </c>
      <c r="E48" s="1">
        <v>0.38</v>
      </c>
      <c r="F48" s="15" t="str">
        <f t="shared" si="4"/>
        <v>Medium</v>
      </c>
      <c r="G48" s="14">
        <v>0</v>
      </c>
      <c r="H48" s="14">
        <v>3.89</v>
      </c>
      <c r="I48" s="15" t="str">
        <f t="shared" si="5"/>
        <v>Average</v>
      </c>
    </row>
    <row r="49" spans="1:9" x14ac:dyDescent="0.35">
      <c r="A49" s="15" t="s">
        <v>34</v>
      </c>
      <c r="B49" s="12">
        <v>199</v>
      </c>
      <c r="C49" s="12">
        <v>504</v>
      </c>
      <c r="D49" s="12">
        <f t="shared" si="3"/>
        <v>305</v>
      </c>
      <c r="E49" s="1">
        <v>0.61</v>
      </c>
      <c r="F49" s="15" t="str">
        <f t="shared" si="4"/>
        <v>High</v>
      </c>
      <c r="G49" s="14">
        <v>0</v>
      </c>
      <c r="H49" s="14">
        <v>3.89</v>
      </c>
      <c r="I49" s="15" t="str">
        <f t="shared" si="5"/>
        <v>Average</v>
      </c>
    </row>
    <row r="50" spans="1:9" x14ac:dyDescent="0.35">
      <c r="A50" s="15" t="s">
        <v>35</v>
      </c>
      <c r="B50" s="12">
        <v>299</v>
      </c>
      <c r="C50" s="12">
        <v>600</v>
      </c>
      <c r="D50" s="12">
        <f t="shared" si="3"/>
        <v>301</v>
      </c>
      <c r="E50" s="1">
        <v>0.5</v>
      </c>
      <c r="F50" s="15" t="str">
        <f t="shared" si="4"/>
        <v>High</v>
      </c>
      <c r="G50" s="14">
        <v>0</v>
      </c>
      <c r="H50" s="14">
        <v>3.89</v>
      </c>
      <c r="I50" s="15" t="str">
        <f t="shared" si="5"/>
        <v>Average</v>
      </c>
    </row>
    <row r="51" spans="1:9" x14ac:dyDescent="0.35">
      <c r="A51" s="15" t="s">
        <v>36</v>
      </c>
      <c r="B51" s="12">
        <v>1660</v>
      </c>
      <c r="C51" s="12">
        <v>1699</v>
      </c>
      <c r="D51" s="12">
        <f t="shared" si="3"/>
        <v>39</v>
      </c>
      <c r="E51" s="1">
        <v>0.02</v>
      </c>
      <c r="F51" s="15" t="str">
        <f t="shared" si="4"/>
        <v>Low</v>
      </c>
      <c r="G51" s="14">
        <v>0</v>
      </c>
      <c r="H51" s="14">
        <v>3.89</v>
      </c>
      <c r="I51" s="15" t="str">
        <f t="shared" si="5"/>
        <v>Average</v>
      </c>
    </row>
    <row r="52" spans="1:9" x14ac:dyDescent="0.35">
      <c r="A52" s="15" t="s">
        <v>37</v>
      </c>
      <c r="B52" s="12">
        <v>299</v>
      </c>
      <c r="C52" s="12">
        <v>384</v>
      </c>
      <c r="D52" s="12">
        <f t="shared" si="3"/>
        <v>85</v>
      </c>
      <c r="E52" s="1">
        <v>0.22</v>
      </c>
      <c r="F52" s="15" t="str">
        <f t="shared" si="4"/>
        <v>Medium</v>
      </c>
      <c r="G52" s="14">
        <v>0</v>
      </c>
      <c r="H52" s="14">
        <v>3.89</v>
      </c>
      <c r="I52" s="15" t="str">
        <f t="shared" si="5"/>
        <v>Average</v>
      </c>
    </row>
    <row r="53" spans="1:9" x14ac:dyDescent="0.35">
      <c r="A53" s="15" t="s">
        <v>99</v>
      </c>
      <c r="B53" s="12">
        <v>1459</v>
      </c>
      <c r="C53" s="12">
        <v>1499</v>
      </c>
      <c r="D53" s="12">
        <f t="shared" si="3"/>
        <v>40</v>
      </c>
      <c r="E53" s="1">
        <v>0.03</v>
      </c>
      <c r="F53" s="15" t="str">
        <f t="shared" si="4"/>
        <v>Low</v>
      </c>
      <c r="G53" s="14">
        <v>0</v>
      </c>
      <c r="H53" s="14">
        <v>3.89</v>
      </c>
      <c r="I53" s="15" t="str">
        <f t="shared" si="5"/>
        <v>Average</v>
      </c>
    </row>
    <row r="54" spans="1:9" x14ac:dyDescent="0.35">
      <c r="A54" s="15" t="s">
        <v>38</v>
      </c>
      <c r="B54" s="12">
        <v>799</v>
      </c>
      <c r="C54" s="12">
        <v>1343</v>
      </c>
      <c r="D54" s="12">
        <f t="shared" si="3"/>
        <v>544</v>
      </c>
      <c r="E54" s="1">
        <v>0.41</v>
      </c>
      <c r="F54" s="15" t="str">
        <f t="shared" si="4"/>
        <v>High</v>
      </c>
      <c r="G54" s="14">
        <v>0</v>
      </c>
      <c r="H54" s="14">
        <v>3.89</v>
      </c>
      <c r="I54" s="15" t="str">
        <f t="shared" si="5"/>
        <v>Average</v>
      </c>
    </row>
    <row r="55" spans="1:9" x14ac:dyDescent="0.35">
      <c r="A55" s="15" t="s">
        <v>39</v>
      </c>
      <c r="B55" s="12">
        <v>499</v>
      </c>
      <c r="C55" s="12">
        <v>900</v>
      </c>
      <c r="D55" s="12">
        <f t="shared" si="3"/>
        <v>401</v>
      </c>
      <c r="E55" s="1">
        <v>0.45</v>
      </c>
      <c r="F55" s="15" t="str">
        <f t="shared" si="4"/>
        <v>High</v>
      </c>
      <c r="G55" s="14">
        <v>0</v>
      </c>
      <c r="H55" s="14">
        <v>3.89</v>
      </c>
      <c r="I55" s="15" t="str">
        <f t="shared" si="5"/>
        <v>Average</v>
      </c>
    </row>
    <row r="56" spans="1:9" x14ac:dyDescent="0.35">
      <c r="A56" s="15" t="s">
        <v>40</v>
      </c>
      <c r="B56" s="12">
        <v>699</v>
      </c>
      <c r="C56" s="12">
        <v>1343</v>
      </c>
      <c r="D56" s="12">
        <f t="shared" si="3"/>
        <v>644</v>
      </c>
      <c r="E56" s="1">
        <v>0.48</v>
      </c>
      <c r="F56" s="15" t="str">
        <f t="shared" si="4"/>
        <v>High</v>
      </c>
      <c r="G56" s="14">
        <v>0</v>
      </c>
      <c r="H56" s="14">
        <v>3.89</v>
      </c>
      <c r="I56" s="15" t="str">
        <f t="shared" si="5"/>
        <v>Average</v>
      </c>
    </row>
    <row r="57" spans="1:9" x14ac:dyDescent="0.35">
      <c r="A57" s="15" t="s">
        <v>41</v>
      </c>
      <c r="B57" s="12">
        <v>799</v>
      </c>
      <c r="C57" s="12">
        <v>1567</v>
      </c>
      <c r="D57" s="12">
        <f t="shared" si="3"/>
        <v>768</v>
      </c>
      <c r="E57" s="1">
        <v>0.49</v>
      </c>
      <c r="F57" s="15" t="str">
        <f t="shared" si="4"/>
        <v>High</v>
      </c>
      <c r="G57" s="14">
        <v>0</v>
      </c>
      <c r="H57" s="14">
        <v>3.89</v>
      </c>
      <c r="I57" s="15" t="str">
        <f t="shared" si="5"/>
        <v>Average</v>
      </c>
    </row>
    <row r="58" spans="1:9" x14ac:dyDescent="0.35">
      <c r="A58" s="15" t="s">
        <v>100</v>
      </c>
      <c r="B58" s="12">
        <v>2799</v>
      </c>
      <c r="C58" s="12">
        <v>3810</v>
      </c>
      <c r="D58" s="12">
        <f t="shared" si="3"/>
        <v>1011</v>
      </c>
      <c r="E58" s="1">
        <v>0.27</v>
      </c>
      <c r="F58" s="15" t="str">
        <f t="shared" si="4"/>
        <v>Medium</v>
      </c>
      <c r="G58" s="14">
        <v>0</v>
      </c>
      <c r="H58" s="14">
        <v>3.89</v>
      </c>
      <c r="I58" s="15" t="str">
        <f t="shared" si="5"/>
        <v>Average</v>
      </c>
    </row>
    <row r="59" spans="1:9" x14ac:dyDescent="0.35">
      <c r="A59" s="15" t="s">
        <v>39</v>
      </c>
      <c r="B59" s="12">
        <v>399</v>
      </c>
      <c r="C59" s="12">
        <v>896</v>
      </c>
      <c r="D59" s="12">
        <f t="shared" si="3"/>
        <v>497</v>
      </c>
      <c r="E59" s="1">
        <v>0.55000000000000004</v>
      </c>
      <c r="F59" s="15" t="str">
        <f t="shared" si="4"/>
        <v>High</v>
      </c>
      <c r="G59" s="14">
        <v>0</v>
      </c>
      <c r="H59" s="14">
        <v>3.89</v>
      </c>
      <c r="I59" s="15" t="str">
        <f t="shared" si="5"/>
        <v>Average</v>
      </c>
    </row>
    <row r="60" spans="1:9" x14ac:dyDescent="0.35">
      <c r="A60" s="15" t="s">
        <v>53</v>
      </c>
      <c r="B60" s="12">
        <v>790</v>
      </c>
      <c r="C60" s="12">
        <v>1485</v>
      </c>
      <c r="D60" s="12">
        <f t="shared" si="3"/>
        <v>695</v>
      </c>
      <c r="E60" s="1">
        <v>0.47</v>
      </c>
      <c r="F60" s="15" t="str">
        <f t="shared" si="4"/>
        <v>High</v>
      </c>
      <c r="G60" s="14">
        <v>0</v>
      </c>
      <c r="H60" s="14">
        <v>3.89</v>
      </c>
      <c r="I60" s="15" t="str">
        <f t="shared" si="5"/>
        <v>Average</v>
      </c>
    </row>
    <row r="61" spans="1:9" x14ac:dyDescent="0.35">
      <c r="A61" s="15" t="s">
        <v>54</v>
      </c>
      <c r="B61" s="12">
        <v>690</v>
      </c>
      <c r="C61" s="12">
        <v>1200</v>
      </c>
      <c r="D61" s="12">
        <f t="shared" si="3"/>
        <v>510</v>
      </c>
      <c r="E61" s="1">
        <v>0.43</v>
      </c>
      <c r="F61" s="15" t="str">
        <f t="shared" si="4"/>
        <v>High</v>
      </c>
      <c r="G61" s="14">
        <v>0</v>
      </c>
      <c r="H61" s="14">
        <v>3.89</v>
      </c>
      <c r="I61" s="15" t="str">
        <f t="shared" si="5"/>
        <v>Average</v>
      </c>
    </row>
    <row r="62" spans="1:9" x14ac:dyDescent="0.35">
      <c r="A62" s="15" t="s">
        <v>55</v>
      </c>
      <c r="B62" s="12">
        <v>1732</v>
      </c>
      <c r="C62" s="12">
        <v>1799</v>
      </c>
      <c r="D62" s="12">
        <f t="shared" si="3"/>
        <v>67</v>
      </c>
      <c r="E62" s="1">
        <v>0.04</v>
      </c>
      <c r="F62" s="15" t="str">
        <f t="shared" si="4"/>
        <v>Low</v>
      </c>
      <c r="G62" s="14">
        <v>0</v>
      </c>
      <c r="H62" s="14">
        <v>3.89</v>
      </c>
      <c r="I62" s="15" t="str">
        <f t="shared" si="5"/>
        <v>Average</v>
      </c>
    </row>
    <row r="63" spans="1:9" x14ac:dyDescent="0.35">
      <c r="A63" s="15" t="s">
        <v>56</v>
      </c>
      <c r="B63" s="12">
        <v>230</v>
      </c>
      <c r="C63" s="12">
        <v>450</v>
      </c>
      <c r="D63" s="12">
        <f t="shared" si="3"/>
        <v>220</v>
      </c>
      <c r="E63" s="1">
        <v>0.49</v>
      </c>
      <c r="F63" s="15" t="str">
        <f t="shared" si="4"/>
        <v>High</v>
      </c>
      <c r="G63" s="14">
        <v>0</v>
      </c>
      <c r="H63" s="14">
        <v>3.89</v>
      </c>
      <c r="I63" s="15" t="str">
        <f t="shared" si="5"/>
        <v>Average</v>
      </c>
    </row>
    <row r="64" spans="1:9" x14ac:dyDescent="0.35">
      <c r="A64" s="15" t="s">
        <v>57</v>
      </c>
      <c r="B64" s="12">
        <v>1460</v>
      </c>
      <c r="C64" s="12">
        <v>2290</v>
      </c>
      <c r="D64" s="12">
        <f t="shared" si="3"/>
        <v>830</v>
      </c>
      <c r="E64" s="1">
        <v>0.36</v>
      </c>
      <c r="F64" s="15" t="str">
        <f t="shared" si="4"/>
        <v>Medium</v>
      </c>
      <c r="G64" s="14">
        <v>0</v>
      </c>
      <c r="H64" s="14">
        <v>3.89</v>
      </c>
      <c r="I64" s="15" t="str">
        <f t="shared" si="5"/>
        <v>Average</v>
      </c>
    </row>
    <row r="65" spans="1:9" x14ac:dyDescent="0.35">
      <c r="A65" s="15" t="s">
        <v>58</v>
      </c>
      <c r="B65" s="12">
        <v>1666</v>
      </c>
      <c r="C65" s="12">
        <v>1699</v>
      </c>
      <c r="D65" s="12">
        <f t="shared" si="3"/>
        <v>33</v>
      </c>
      <c r="E65" s="1">
        <v>0.02</v>
      </c>
      <c r="F65" s="15" t="str">
        <f t="shared" si="4"/>
        <v>Low</v>
      </c>
      <c r="G65" s="14">
        <v>0</v>
      </c>
      <c r="H65" s="14">
        <v>3.89</v>
      </c>
      <c r="I65" s="15" t="str">
        <f t="shared" si="5"/>
        <v>Average</v>
      </c>
    </row>
    <row r="66" spans="1:9" x14ac:dyDescent="0.35">
      <c r="A66" s="15" t="s">
        <v>34</v>
      </c>
      <c r="B66" s="12">
        <v>176</v>
      </c>
      <c r="C66" s="12">
        <v>345</v>
      </c>
      <c r="D66" s="12">
        <f t="shared" ref="D66:D97" si="6">C66-B66</f>
        <v>169</v>
      </c>
      <c r="E66" s="1">
        <v>0.49</v>
      </c>
      <c r="F66" s="15" t="str">
        <f t="shared" ref="F66:F97" si="7">IF(E66&lt;0.2,"Low",IF(E66&lt;=0.4,"Medium","High"))</f>
        <v>High</v>
      </c>
      <c r="G66" s="14">
        <v>0</v>
      </c>
      <c r="H66" s="14">
        <v>3.89</v>
      </c>
      <c r="I66" s="15" t="str">
        <f t="shared" ref="I66:I97" si="8">IF(H66&lt;3, "Poor",IF(H66 &lt;=4.4, "Average", "Excellent"))</f>
        <v>Average</v>
      </c>
    </row>
    <row r="67" spans="1:9" x14ac:dyDescent="0.35">
      <c r="A67" s="15" t="s">
        <v>60</v>
      </c>
      <c r="B67" s="12">
        <v>1466</v>
      </c>
      <c r="C67" s="12">
        <v>1699</v>
      </c>
      <c r="D67" s="12">
        <f t="shared" si="6"/>
        <v>233</v>
      </c>
      <c r="E67" s="1">
        <v>0.14000000000000001</v>
      </c>
      <c r="F67" s="15" t="str">
        <f t="shared" si="7"/>
        <v>Low</v>
      </c>
      <c r="G67" s="14">
        <v>0</v>
      </c>
      <c r="H67" s="14">
        <v>3.89</v>
      </c>
      <c r="I67" s="15" t="str">
        <f t="shared" si="8"/>
        <v>Average</v>
      </c>
    </row>
    <row r="68" spans="1:9" x14ac:dyDescent="0.35">
      <c r="A68" s="15" t="s">
        <v>61</v>
      </c>
      <c r="B68" s="12">
        <v>274</v>
      </c>
      <c r="C68" s="12">
        <v>537</v>
      </c>
      <c r="D68" s="12">
        <f t="shared" si="6"/>
        <v>263</v>
      </c>
      <c r="E68" s="1">
        <v>0.49</v>
      </c>
      <c r="F68" s="15" t="str">
        <f t="shared" si="7"/>
        <v>High</v>
      </c>
      <c r="G68" s="14">
        <v>0</v>
      </c>
      <c r="H68" s="14">
        <v>3.89</v>
      </c>
      <c r="I68" s="15" t="str">
        <f t="shared" si="8"/>
        <v>Average</v>
      </c>
    </row>
    <row r="69" spans="1:9" x14ac:dyDescent="0.35">
      <c r="A69" s="15" t="s">
        <v>107</v>
      </c>
      <c r="B69" s="12">
        <v>799</v>
      </c>
      <c r="C69" s="12">
        <v>900</v>
      </c>
      <c r="D69" s="12">
        <f t="shared" si="6"/>
        <v>101</v>
      </c>
      <c r="E69" s="1">
        <v>0.11</v>
      </c>
      <c r="F69" s="15" t="str">
        <f t="shared" si="7"/>
        <v>Low</v>
      </c>
      <c r="G69" s="14">
        <v>0</v>
      </c>
      <c r="H69" s="14">
        <v>3.89</v>
      </c>
      <c r="I69" s="15" t="str">
        <f t="shared" si="8"/>
        <v>Average</v>
      </c>
    </row>
    <row r="70" spans="1:9" x14ac:dyDescent="0.35">
      <c r="A70" s="15" t="s">
        <v>41</v>
      </c>
      <c r="B70" s="12">
        <v>657</v>
      </c>
      <c r="C70" s="12">
        <v>1288</v>
      </c>
      <c r="D70" s="12">
        <f t="shared" si="6"/>
        <v>631</v>
      </c>
      <c r="E70" s="1">
        <v>0.49</v>
      </c>
      <c r="F70" s="15" t="str">
        <f t="shared" si="7"/>
        <v>High</v>
      </c>
      <c r="G70" s="14">
        <v>0</v>
      </c>
      <c r="H70" s="14">
        <v>3.89</v>
      </c>
      <c r="I70" s="15" t="str">
        <f t="shared" si="8"/>
        <v>Average</v>
      </c>
    </row>
    <row r="71" spans="1:9" x14ac:dyDescent="0.35">
      <c r="A71" s="15" t="s">
        <v>108</v>
      </c>
      <c r="B71" s="12">
        <v>1468</v>
      </c>
      <c r="C71" s="12">
        <v>1699</v>
      </c>
      <c r="D71" s="12">
        <f t="shared" si="6"/>
        <v>231</v>
      </c>
      <c r="E71" s="1">
        <v>0.14000000000000001</v>
      </c>
      <c r="F71" s="15" t="str">
        <f t="shared" si="7"/>
        <v>Low</v>
      </c>
      <c r="G71" s="14">
        <v>0</v>
      </c>
      <c r="H71" s="14">
        <v>3.89</v>
      </c>
      <c r="I71" s="15" t="str">
        <f t="shared" si="8"/>
        <v>Average</v>
      </c>
    </row>
    <row r="72" spans="1:9" x14ac:dyDescent="0.35">
      <c r="A72" s="15" t="s">
        <v>62</v>
      </c>
      <c r="B72" s="12">
        <v>630</v>
      </c>
      <c r="C72" s="12">
        <v>1100</v>
      </c>
      <c r="D72" s="12">
        <f t="shared" si="6"/>
        <v>470</v>
      </c>
      <c r="E72" s="1">
        <v>0.43</v>
      </c>
      <c r="F72" s="15" t="str">
        <f t="shared" si="7"/>
        <v>High</v>
      </c>
      <c r="G72" s="14">
        <v>0</v>
      </c>
      <c r="H72" s="14">
        <v>3.89</v>
      </c>
      <c r="I72" s="15" t="str">
        <f t="shared" si="8"/>
        <v>Average</v>
      </c>
    </row>
    <row r="73" spans="1:9" x14ac:dyDescent="0.35">
      <c r="A73" s="15" t="s">
        <v>63</v>
      </c>
      <c r="B73" s="12">
        <v>850</v>
      </c>
      <c r="C73" s="12">
        <v>1700</v>
      </c>
      <c r="D73" s="12">
        <f t="shared" si="6"/>
        <v>850</v>
      </c>
      <c r="E73" s="1">
        <v>0.5</v>
      </c>
      <c r="F73" s="15" t="str">
        <f t="shared" si="7"/>
        <v>High</v>
      </c>
      <c r="G73" s="14">
        <v>0</v>
      </c>
      <c r="H73" s="14">
        <v>3.89</v>
      </c>
      <c r="I73" s="15" t="str">
        <f t="shared" si="8"/>
        <v>Average</v>
      </c>
    </row>
    <row r="74" spans="1:9" x14ac:dyDescent="0.35">
      <c r="A74" s="15" t="s">
        <v>64</v>
      </c>
      <c r="B74" s="12">
        <v>1300</v>
      </c>
      <c r="C74" s="12">
        <v>2500</v>
      </c>
      <c r="D74" s="12">
        <f t="shared" si="6"/>
        <v>1200</v>
      </c>
      <c r="E74" s="1">
        <v>0.48</v>
      </c>
      <c r="F74" s="15" t="str">
        <f t="shared" si="7"/>
        <v>High</v>
      </c>
      <c r="G74" s="14">
        <v>0</v>
      </c>
      <c r="H74" s="14">
        <v>3.89</v>
      </c>
      <c r="I74" s="15" t="str">
        <f t="shared" si="8"/>
        <v>Average</v>
      </c>
    </row>
    <row r="75" spans="1:9" x14ac:dyDescent="0.35">
      <c r="A75" s="15" t="s">
        <v>65</v>
      </c>
      <c r="B75" s="12">
        <v>105</v>
      </c>
      <c r="C75" s="12">
        <v>200</v>
      </c>
      <c r="D75" s="12">
        <f t="shared" si="6"/>
        <v>95</v>
      </c>
      <c r="E75" s="1">
        <v>0.48</v>
      </c>
      <c r="F75" s="15" t="str">
        <f t="shared" si="7"/>
        <v>High</v>
      </c>
      <c r="G75" s="14">
        <v>0</v>
      </c>
      <c r="H75" s="14">
        <v>3.89</v>
      </c>
      <c r="I75" s="15" t="str">
        <f t="shared" si="8"/>
        <v>Average</v>
      </c>
    </row>
    <row r="76" spans="1:9" x14ac:dyDescent="0.35">
      <c r="A76" s="15" t="s">
        <v>66</v>
      </c>
      <c r="B76" s="12">
        <v>899</v>
      </c>
      <c r="C76" s="12">
        <v>1699</v>
      </c>
      <c r="D76" s="12">
        <f t="shared" si="6"/>
        <v>800</v>
      </c>
      <c r="E76" s="1">
        <v>0.47</v>
      </c>
      <c r="F76" s="15" t="str">
        <f t="shared" si="7"/>
        <v>High</v>
      </c>
      <c r="G76" s="14">
        <v>0</v>
      </c>
      <c r="H76" s="14">
        <v>3.89</v>
      </c>
      <c r="I76" s="15" t="str">
        <f t="shared" si="8"/>
        <v>Average</v>
      </c>
    </row>
    <row r="77" spans="1:9" x14ac:dyDescent="0.35">
      <c r="A77" s="15" t="s">
        <v>109</v>
      </c>
      <c r="B77" s="12">
        <v>1200</v>
      </c>
      <c r="C77" s="12">
        <v>2400</v>
      </c>
      <c r="D77" s="12">
        <f t="shared" si="6"/>
        <v>1200</v>
      </c>
      <c r="E77" s="1">
        <v>0.5</v>
      </c>
      <c r="F77" s="15" t="str">
        <f t="shared" si="7"/>
        <v>High</v>
      </c>
      <c r="G77" s="14">
        <v>0</v>
      </c>
      <c r="H77" s="14">
        <v>3.89</v>
      </c>
      <c r="I77" s="15" t="str">
        <f t="shared" si="8"/>
        <v>Average</v>
      </c>
    </row>
    <row r="78" spans="1:9" x14ac:dyDescent="0.35">
      <c r="A78" s="15" t="s">
        <v>67</v>
      </c>
      <c r="B78" s="12">
        <v>1526</v>
      </c>
      <c r="C78" s="12">
        <v>1660</v>
      </c>
      <c r="D78" s="12">
        <f t="shared" si="6"/>
        <v>134</v>
      </c>
      <c r="E78" s="1">
        <v>0.08</v>
      </c>
      <c r="F78" s="15" t="str">
        <f t="shared" si="7"/>
        <v>Low</v>
      </c>
      <c r="G78" s="14">
        <v>0</v>
      </c>
      <c r="H78" s="14">
        <v>3.89</v>
      </c>
      <c r="I78" s="15" t="str">
        <f t="shared" si="8"/>
        <v>Average</v>
      </c>
    </row>
    <row r="79" spans="1:9" x14ac:dyDescent="0.35">
      <c r="A79" s="15" t="s">
        <v>68</v>
      </c>
      <c r="B79" s="12">
        <v>1462</v>
      </c>
      <c r="C79" s="12">
        <v>1499</v>
      </c>
      <c r="D79" s="12">
        <f t="shared" si="6"/>
        <v>37</v>
      </c>
      <c r="E79" s="1">
        <v>0.02</v>
      </c>
      <c r="F79" s="15" t="str">
        <f t="shared" si="7"/>
        <v>Low</v>
      </c>
      <c r="G79" s="14">
        <v>0</v>
      </c>
      <c r="H79" s="14">
        <v>3.89</v>
      </c>
      <c r="I79" s="15" t="str">
        <f t="shared" si="8"/>
        <v>Average</v>
      </c>
    </row>
    <row r="80" spans="1:9" x14ac:dyDescent="0.35">
      <c r="A80" s="15" t="s">
        <v>69</v>
      </c>
      <c r="B80" s="12">
        <v>248</v>
      </c>
      <c r="C80" s="12">
        <v>486</v>
      </c>
      <c r="D80" s="12">
        <f t="shared" si="6"/>
        <v>238</v>
      </c>
      <c r="E80" s="1">
        <v>0.49</v>
      </c>
      <c r="F80" s="15" t="str">
        <f t="shared" si="7"/>
        <v>High</v>
      </c>
      <c r="G80" s="14">
        <v>0</v>
      </c>
      <c r="H80" s="14">
        <v>3.89</v>
      </c>
      <c r="I80" s="15" t="str">
        <f t="shared" si="8"/>
        <v>Average</v>
      </c>
    </row>
    <row r="81" spans="1:9" x14ac:dyDescent="0.35">
      <c r="A81" s="15" t="s">
        <v>70</v>
      </c>
      <c r="B81" s="12">
        <v>3546</v>
      </c>
      <c r="C81" s="12">
        <v>3699</v>
      </c>
      <c r="D81" s="12">
        <f t="shared" si="6"/>
        <v>153</v>
      </c>
      <c r="E81" s="1">
        <v>0.04</v>
      </c>
      <c r="F81" s="15" t="str">
        <f t="shared" si="7"/>
        <v>Low</v>
      </c>
      <c r="G81" s="14">
        <v>0</v>
      </c>
      <c r="H81" s="14">
        <v>3.89</v>
      </c>
      <c r="I81" s="15" t="str">
        <f t="shared" si="8"/>
        <v>Average</v>
      </c>
    </row>
    <row r="82" spans="1:9" x14ac:dyDescent="0.35">
      <c r="A82" s="15" t="s">
        <v>71</v>
      </c>
      <c r="B82" s="12">
        <v>525</v>
      </c>
      <c r="C82" s="12">
        <v>1029</v>
      </c>
      <c r="D82" s="12">
        <f t="shared" si="6"/>
        <v>504</v>
      </c>
      <c r="E82" s="1">
        <v>0.49</v>
      </c>
      <c r="F82" s="15" t="str">
        <f t="shared" si="7"/>
        <v>High</v>
      </c>
      <c r="G82" s="14">
        <v>0</v>
      </c>
      <c r="H82" s="14">
        <v>3.89</v>
      </c>
      <c r="I82" s="15" t="str">
        <f t="shared" si="8"/>
        <v>Average</v>
      </c>
    </row>
    <row r="83" spans="1:9" x14ac:dyDescent="0.35">
      <c r="A83" s="15" t="s">
        <v>72</v>
      </c>
      <c r="B83" s="12">
        <v>1080</v>
      </c>
      <c r="C83" s="12">
        <v>1874</v>
      </c>
      <c r="D83" s="12">
        <f t="shared" si="6"/>
        <v>794</v>
      </c>
      <c r="E83" s="1">
        <v>0.42</v>
      </c>
      <c r="F83" s="15" t="str">
        <f t="shared" si="7"/>
        <v>High</v>
      </c>
      <c r="G83" s="14">
        <v>0</v>
      </c>
      <c r="H83" s="14">
        <v>3.89</v>
      </c>
      <c r="I83" s="15" t="str">
        <f t="shared" si="8"/>
        <v>Average</v>
      </c>
    </row>
    <row r="84" spans="1:9" x14ac:dyDescent="0.35">
      <c r="A84" s="15" t="s">
        <v>73</v>
      </c>
      <c r="B84" s="12">
        <v>1420</v>
      </c>
      <c r="C84" s="12">
        <v>2420</v>
      </c>
      <c r="D84" s="12">
        <f t="shared" si="6"/>
        <v>1000</v>
      </c>
      <c r="E84" s="1">
        <v>0.41</v>
      </c>
      <c r="F84" s="15" t="str">
        <f t="shared" si="7"/>
        <v>High</v>
      </c>
      <c r="G84" s="14">
        <v>0</v>
      </c>
      <c r="H84" s="14">
        <v>3.89</v>
      </c>
      <c r="I84" s="15" t="str">
        <f t="shared" si="8"/>
        <v>Average</v>
      </c>
    </row>
    <row r="85" spans="1:9" x14ac:dyDescent="0.35">
      <c r="A85" s="15" t="s">
        <v>111</v>
      </c>
      <c r="B85" s="12">
        <v>1875</v>
      </c>
      <c r="C85" s="12">
        <v>1899</v>
      </c>
      <c r="D85" s="12">
        <f t="shared" si="6"/>
        <v>24</v>
      </c>
      <c r="E85" s="1">
        <v>0.01</v>
      </c>
      <c r="F85" s="15" t="str">
        <f t="shared" si="7"/>
        <v>Low</v>
      </c>
      <c r="G85" s="14">
        <v>0</v>
      </c>
      <c r="H85" s="14">
        <v>3.89</v>
      </c>
      <c r="I85" s="15" t="str">
        <f t="shared" si="8"/>
        <v>Average</v>
      </c>
    </row>
    <row r="86" spans="1:9" x14ac:dyDescent="0.35">
      <c r="A86" s="15" t="s">
        <v>74</v>
      </c>
      <c r="B86" s="12">
        <v>198</v>
      </c>
      <c r="C86" s="12">
        <v>260</v>
      </c>
      <c r="D86" s="12">
        <f t="shared" si="6"/>
        <v>62</v>
      </c>
      <c r="E86" s="1">
        <v>0.24</v>
      </c>
      <c r="F86" s="15" t="str">
        <f t="shared" si="7"/>
        <v>Medium</v>
      </c>
      <c r="G86" s="14">
        <v>0</v>
      </c>
      <c r="H86" s="14">
        <v>3.89</v>
      </c>
      <c r="I86" s="15" t="str">
        <f t="shared" si="8"/>
        <v>Average</v>
      </c>
    </row>
    <row r="87" spans="1:9" x14ac:dyDescent="0.35">
      <c r="A87" s="15" t="s">
        <v>112</v>
      </c>
      <c r="B87" s="12">
        <v>1150</v>
      </c>
      <c r="C87" s="12">
        <v>1737</v>
      </c>
      <c r="D87" s="12">
        <f t="shared" si="6"/>
        <v>587</v>
      </c>
      <c r="E87" s="1">
        <v>0.34</v>
      </c>
      <c r="F87" s="15" t="str">
        <f t="shared" si="7"/>
        <v>Medium</v>
      </c>
      <c r="G87" s="14">
        <v>0</v>
      </c>
      <c r="H87" s="14">
        <v>3.89</v>
      </c>
      <c r="I87" s="15" t="str">
        <f t="shared" si="8"/>
        <v>Average</v>
      </c>
    </row>
    <row r="88" spans="1:9" x14ac:dyDescent="0.35">
      <c r="A88" s="15" t="s">
        <v>75</v>
      </c>
      <c r="B88" s="12">
        <v>1190</v>
      </c>
      <c r="C88" s="12">
        <v>1810</v>
      </c>
      <c r="D88" s="12">
        <f t="shared" si="6"/>
        <v>620</v>
      </c>
      <c r="E88" s="1">
        <v>0.34</v>
      </c>
      <c r="F88" s="15" t="str">
        <f t="shared" si="7"/>
        <v>Medium</v>
      </c>
      <c r="G88" s="14">
        <v>0</v>
      </c>
      <c r="H88" s="14">
        <v>3.89</v>
      </c>
      <c r="I88" s="15" t="str">
        <f t="shared" si="8"/>
        <v>Average</v>
      </c>
    </row>
    <row r="89" spans="1:9" x14ac:dyDescent="0.35">
      <c r="A89" s="15" t="s">
        <v>76</v>
      </c>
      <c r="B89" s="12">
        <v>1658</v>
      </c>
      <c r="C89" s="12">
        <v>1699</v>
      </c>
      <c r="D89" s="12">
        <f t="shared" si="6"/>
        <v>41</v>
      </c>
      <c r="E89" s="1">
        <v>0.02</v>
      </c>
      <c r="F89" s="15" t="str">
        <f t="shared" si="7"/>
        <v>Low</v>
      </c>
      <c r="G89" s="14">
        <v>0</v>
      </c>
      <c r="H89" s="14">
        <v>3.89</v>
      </c>
      <c r="I89" s="15" t="str">
        <f t="shared" si="8"/>
        <v>Average</v>
      </c>
    </row>
    <row r="90" spans="1:9" x14ac:dyDescent="0.35">
      <c r="A90" s="15" t="s">
        <v>77</v>
      </c>
      <c r="B90" s="12">
        <v>1768</v>
      </c>
      <c r="C90" s="12">
        <v>1799</v>
      </c>
      <c r="D90" s="12">
        <f t="shared" si="6"/>
        <v>31</v>
      </c>
      <c r="E90" s="1">
        <v>0.02</v>
      </c>
      <c r="F90" s="15" t="str">
        <f t="shared" si="7"/>
        <v>Low</v>
      </c>
      <c r="G90" s="14">
        <v>0</v>
      </c>
      <c r="H90" s="14">
        <v>3.89</v>
      </c>
      <c r="I90" s="15" t="str">
        <f t="shared" si="8"/>
        <v>Average</v>
      </c>
    </row>
    <row r="91" spans="1:9" x14ac:dyDescent="0.35">
      <c r="A91" s="15" t="s">
        <v>78</v>
      </c>
      <c r="B91" s="12">
        <v>199</v>
      </c>
      <c r="C91" s="12">
        <v>553</v>
      </c>
      <c r="D91" s="12">
        <f t="shared" si="6"/>
        <v>354</v>
      </c>
      <c r="E91" s="1">
        <v>0.64</v>
      </c>
      <c r="F91" s="15" t="str">
        <f t="shared" si="7"/>
        <v>High</v>
      </c>
      <c r="G91" s="14">
        <v>0</v>
      </c>
      <c r="H91" s="14">
        <v>3.89</v>
      </c>
      <c r="I91" s="15" t="str">
        <f t="shared" si="8"/>
        <v>Average</v>
      </c>
    </row>
    <row r="92" spans="1:9" x14ac:dyDescent="0.35">
      <c r="A92" s="15" t="s">
        <v>79</v>
      </c>
      <c r="B92" s="12">
        <v>169</v>
      </c>
      <c r="C92" s="12">
        <v>320</v>
      </c>
      <c r="D92" s="12">
        <f t="shared" si="6"/>
        <v>151</v>
      </c>
      <c r="E92" s="1">
        <v>0.47</v>
      </c>
      <c r="F92" s="15" t="str">
        <f t="shared" si="7"/>
        <v>High</v>
      </c>
      <c r="G92" s="14">
        <v>0</v>
      </c>
      <c r="H92" s="14">
        <v>3.89</v>
      </c>
      <c r="I92" s="15" t="str">
        <f t="shared" si="8"/>
        <v>Average</v>
      </c>
    </row>
    <row r="93" spans="1:9" x14ac:dyDescent="0.35">
      <c r="A93" s="15" t="s">
        <v>9</v>
      </c>
      <c r="B93" s="12">
        <v>1600</v>
      </c>
      <c r="C93" s="12">
        <v>2929</v>
      </c>
      <c r="D93" s="12">
        <f t="shared" si="6"/>
        <v>1329</v>
      </c>
      <c r="E93" s="1">
        <v>0.45</v>
      </c>
      <c r="F93" s="15" t="str">
        <f t="shared" si="7"/>
        <v>High</v>
      </c>
      <c r="G93" s="14">
        <v>5</v>
      </c>
      <c r="H93" s="14">
        <v>3.8</v>
      </c>
      <c r="I93" s="15" t="str">
        <f t="shared" si="8"/>
        <v>Average</v>
      </c>
    </row>
    <row r="94" spans="1:9" x14ac:dyDescent="0.35">
      <c r="A94" s="15" t="s">
        <v>23</v>
      </c>
      <c r="B94" s="12">
        <v>2880</v>
      </c>
      <c r="C94" s="12">
        <v>3520</v>
      </c>
      <c r="D94" s="12">
        <f t="shared" si="6"/>
        <v>640</v>
      </c>
      <c r="E94" s="1">
        <v>0.18</v>
      </c>
      <c r="F94" s="15" t="str">
        <f t="shared" si="7"/>
        <v>Low</v>
      </c>
      <c r="G94" s="14">
        <v>12</v>
      </c>
      <c r="H94" s="14">
        <v>3.8</v>
      </c>
      <c r="I94" s="15" t="str">
        <f t="shared" si="8"/>
        <v>Average</v>
      </c>
    </row>
    <row r="95" spans="1:9" x14ac:dyDescent="0.35">
      <c r="A95" s="15" t="s">
        <v>24</v>
      </c>
      <c r="B95" s="12">
        <v>1350</v>
      </c>
      <c r="C95" s="12">
        <v>1990</v>
      </c>
      <c r="D95" s="12">
        <f t="shared" si="6"/>
        <v>640</v>
      </c>
      <c r="E95" s="1">
        <v>0.32</v>
      </c>
      <c r="F95" s="15" t="str">
        <f t="shared" si="7"/>
        <v>Medium</v>
      </c>
      <c r="G95" s="14">
        <v>13</v>
      </c>
      <c r="H95" s="14">
        <v>3.8</v>
      </c>
      <c r="I95" s="15" t="str">
        <f t="shared" si="8"/>
        <v>Average</v>
      </c>
    </row>
    <row r="96" spans="1:9" x14ac:dyDescent="0.35">
      <c r="A96" s="15" t="s">
        <v>18</v>
      </c>
      <c r="B96" s="12">
        <v>38</v>
      </c>
      <c r="C96" s="12">
        <v>80</v>
      </c>
      <c r="D96" s="12">
        <f t="shared" si="6"/>
        <v>42</v>
      </c>
      <c r="E96" s="1">
        <v>0.53</v>
      </c>
      <c r="F96" s="15" t="str">
        <f t="shared" si="7"/>
        <v>High</v>
      </c>
      <c r="G96" s="14">
        <v>13</v>
      </c>
      <c r="H96" s="14">
        <v>3.3</v>
      </c>
      <c r="I96" s="15" t="str">
        <f t="shared" si="8"/>
        <v>Average</v>
      </c>
    </row>
    <row r="97" spans="1:9" x14ac:dyDescent="0.35">
      <c r="A97" s="15" t="s">
        <v>43</v>
      </c>
      <c r="B97" s="12">
        <v>458</v>
      </c>
      <c r="C97" s="12">
        <v>986</v>
      </c>
      <c r="D97" s="12">
        <f t="shared" si="6"/>
        <v>528</v>
      </c>
      <c r="E97" s="1">
        <v>0.54</v>
      </c>
      <c r="F97" s="15" t="str">
        <f t="shared" si="7"/>
        <v>High</v>
      </c>
      <c r="G97" s="14">
        <v>10</v>
      </c>
      <c r="H97" s="14">
        <v>3</v>
      </c>
      <c r="I97" s="15" t="str">
        <f t="shared" si="8"/>
        <v>Average</v>
      </c>
    </row>
    <row r="98" spans="1:9" x14ac:dyDescent="0.35">
      <c r="A98" s="15" t="s">
        <v>102</v>
      </c>
      <c r="B98" s="12">
        <v>3750</v>
      </c>
      <c r="C98" s="12">
        <v>6143</v>
      </c>
      <c r="D98" s="12">
        <f t="shared" ref="D98:D129" si="9">C98-B98</f>
        <v>2393</v>
      </c>
      <c r="E98" s="1">
        <v>0.39</v>
      </c>
      <c r="F98" s="15" t="str">
        <f t="shared" ref="F98:F129" si="10">IF(E98&lt;0.2,"Low",IF(E98&lt;=0.4,"Medium","High"))</f>
        <v>Medium</v>
      </c>
      <c r="G98" s="14">
        <v>5</v>
      </c>
      <c r="H98" s="14">
        <v>3</v>
      </c>
      <c r="I98" s="15" t="str">
        <f t="shared" ref="I98:I129" si="11">IF(H98&lt;3, "Poor",IF(H98 &lt;=4.4, "Average", "Excellent"))</f>
        <v>Average</v>
      </c>
    </row>
    <row r="99" spans="1:9" x14ac:dyDescent="0.35">
      <c r="A99" s="15" t="s">
        <v>50</v>
      </c>
      <c r="B99" s="12">
        <v>2300</v>
      </c>
      <c r="C99" s="12">
        <v>3240</v>
      </c>
      <c r="D99" s="12">
        <f t="shared" si="9"/>
        <v>940</v>
      </c>
      <c r="E99" s="1">
        <v>0.28999999999999998</v>
      </c>
      <c r="F99" s="15" t="str">
        <f t="shared" si="10"/>
        <v>Medium</v>
      </c>
      <c r="G99" s="14">
        <v>5</v>
      </c>
      <c r="H99" s="14">
        <v>3</v>
      </c>
      <c r="I99" s="15" t="str">
        <f t="shared" si="11"/>
        <v>Average</v>
      </c>
    </row>
    <row r="100" spans="1:9" x14ac:dyDescent="0.35">
      <c r="A100" s="15" t="s">
        <v>52</v>
      </c>
      <c r="B100" s="12">
        <v>509</v>
      </c>
      <c r="C100" s="12">
        <v>899</v>
      </c>
      <c r="D100" s="12">
        <f t="shared" si="9"/>
        <v>390</v>
      </c>
      <c r="E100" s="1">
        <v>0.43</v>
      </c>
      <c r="F100" s="15" t="str">
        <f t="shared" si="10"/>
        <v>High</v>
      </c>
      <c r="G100" s="14">
        <v>5</v>
      </c>
      <c r="H100" s="14">
        <v>3</v>
      </c>
      <c r="I100" s="15" t="str">
        <f t="shared" si="11"/>
        <v>Average</v>
      </c>
    </row>
    <row r="101" spans="1:9" x14ac:dyDescent="0.35">
      <c r="A101" s="15" t="s">
        <v>105</v>
      </c>
      <c r="B101" s="12">
        <v>1189</v>
      </c>
      <c r="C101" s="12">
        <v>2199</v>
      </c>
      <c r="D101" s="12">
        <f t="shared" si="9"/>
        <v>1010</v>
      </c>
      <c r="E101" s="1">
        <v>0.46</v>
      </c>
      <c r="F101" s="15" t="str">
        <f t="shared" si="10"/>
        <v>High</v>
      </c>
      <c r="G101" s="14">
        <v>1</v>
      </c>
      <c r="H101" s="14">
        <v>3</v>
      </c>
      <c r="I101" s="15" t="str">
        <f t="shared" si="11"/>
        <v>Average</v>
      </c>
    </row>
    <row r="102" spans="1:9" x14ac:dyDescent="0.35">
      <c r="A102" s="15" t="s">
        <v>46</v>
      </c>
      <c r="B102" s="12">
        <v>1220</v>
      </c>
      <c r="C102" s="12">
        <v>1555</v>
      </c>
      <c r="D102" s="12">
        <f t="shared" si="9"/>
        <v>335</v>
      </c>
      <c r="E102" s="1">
        <v>0.22</v>
      </c>
      <c r="F102" s="15" t="str">
        <f t="shared" si="10"/>
        <v>Medium</v>
      </c>
      <c r="G102" s="14">
        <v>16</v>
      </c>
      <c r="H102" s="14">
        <v>2.9</v>
      </c>
      <c r="I102" s="15" t="str">
        <f t="shared" si="11"/>
        <v>Poor</v>
      </c>
    </row>
    <row r="103" spans="1:9" x14ac:dyDescent="0.35">
      <c r="A103" s="15" t="s">
        <v>44</v>
      </c>
      <c r="B103" s="12">
        <v>445</v>
      </c>
      <c r="C103" s="12">
        <v>873</v>
      </c>
      <c r="D103" s="12">
        <f t="shared" si="9"/>
        <v>428</v>
      </c>
      <c r="E103" s="1">
        <v>0.49</v>
      </c>
      <c r="F103" s="15" t="str">
        <f t="shared" si="10"/>
        <v>High</v>
      </c>
      <c r="G103" s="14">
        <v>69</v>
      </c>
      <c r="H103" s="14">
        <v>2.8</v>
      </c>
      <c r="I103" s="15" t="str">
        <f t="shared" si="11"/>
        <v>Poor</v>
      </c>
    </row>
    <row r="104" spans="1:9" x14ac:dyDescent="0.35">
      <c r="A104" s="15" t="s">
        <v>45</v>
      </c>
      <c r="B104" s="12">
        <v>325</v>
      </c>
      <c r="C104" s="12">
        <v>680</v>
      </c>
      <c r="D104" s="12">
        <f t="shared" si="9"/>
        <v>355</v>
      </c>
      <c r="E104" s="1">
        <v>0.52</v>
      </c>
      <c r="F104" s="15" t="str">
        <f t="shared" si="10"/>
        <v>High</v>
      </c>
      <c r="G104" s="14">
        <v>15</v>
      </c>
      <c r="H104" s="14">
        <v>2.7</v>
      </c>
      <c r="I104" s="15" t="str">
        <f t="shared" si="11"/>
        <v>Poor</v>
      </c>
    </row>
    <row r="105" spans="1:9" x14ac:dyDescent="0.35">
      <c r="A105" s="15" t="s">
        <v>49</v>
      </c>
      <c r="B105" s="12">
        <v>382</v>
      </c>
      <c r="C105" s="12">
        <v>700</v>
      </c>
      <c r="D105" s="12">
        <f t="shared" si="9"/>
        <v>318</v>
      </c>
      <c r="E105" s="1">
        <v>0.45</v>
      </c>
      <c r="F105" s="15" t="str">
        <f t="shared" si="10"/>
        <v>High</v>
      </c>
      <c r="G105" s="14">
        <v>17</v>
      </c>
      <c r="H105" s="14">
        <v>2.6</v>
      </c>
      <c r="I105" s="15" t="str">
        <f t="shared" si="11"/>
        <v>Poor</v>
      </c>
    </row>
    <row r="106" spans="1:9" x14ac:dyDescent="0.35">
      <c r="A106" s="15" t="s">
        <v>42</v>
      </c>
      <c r="B106" s="12">
        <v>2170</v>
      </c>
      <c r="C106" s="12">
        <v>2500</v>
      </c>
      <c r="D106" s="12">
        <f t="shared" si="9"/>
        <v>330</v>
      </c>
      <c r="E106" s="1">
        <v>0.13</v>
      </c>
      <c r="F106" s="15" t="str">
        <f t="shared" si="10"/>
        <v>Low</v>
      </c>
      <c r="G106" s="14">
        <v>6</v>
      </c>
      <c r="H106" s="14">
        <v>2.5</v>
      </c>
      <c r="I106" s="15" t="str">
        <f t="shared" si="11"/>
        <v>Poor</v>
      </c>
    </row>
    <row r="107" spans="1:9" x14ac:dyDescent="0.35">
      <c r="A107" s="15" t="s">
        <v>48</v>
      </c>
      <c r="B107" s="12">
        <v>1000</v>
      </c>
      <c r="C107" s="12">
        <v>2000</v>
      </c>
      <c r="D107" s="12">
        <f t="shared" si="9"/>
        <v>1000</v>
      </c>
      <c r="E107" s="1">
        <v>0.5</v>
      </c>
      <c r="F107" s="15" t="str">
        <f t="shared" si="10"/>
        <v>High</v>
      </c>
      <c r="G107" s="14">
        <v>7</v>
      </c>
      <c r="H107" s="14">
        <v>2.2999999999999998</v>
      </c>
      <c r="I107" s="15" t="str">
        <f t="shared" si="11"/>
        <v>Poor</v>
      </c>
    </row>
    <row r="108" spans="1:9" x14ac:dyDescent="0.35">
      <c r="A108" s="15" t="s">
        <v>51</v>
      </c>
      <c r="B108" s="12">
        <v>345</v>
      </c>
      <c r="C108" s="12">
        <v>602</v>
      </c>
      <c r="D108" s="12">
        <f t="shared" si="9"/>
        <v>257</v>
      </c>
      <c r="E108" s="1">
        <v>0.43</v>
      </c>
      <c r="F108" s="15" t="str">
        <f t="shared" si="10"/>
        <v>High</v>
      </c>
      <c r="G108" s="14">
        <v>6</v>
      </c>
      <c r="H108" s="14">
        <v>2.2999999999999998</v>
      </c>
      <c r="I108" s="15" t="str">
        <f t="shared" si="11"/>
        <v>Poor</v>
      </c>
    </row>
    <row r="109" spans="1:9" x14ac:dyDescent="0.35">
      <c r="A109" s="15" t="s">
        <v>47</v>
      </c>
      <c r="B109" s="12">
        <v>990</v>
      </c>
      <c r="C109" s="12">
        <v>1814</v>
      </c>
      <c r="D109" s="12">
        <f t="shared" si="9"/>
        <v>824</v>
      </c>
      <c r="E109" s="1">
        <v>0.45</v>
      </c>
      <c r="F109" s="15" t="str">
        <f t="shared" si="10"/>
        <v>High</v>
      </c>
      <c r="G109" s="14">
        <v>6</v>
      </c>
      <c r="H109" s="14">
        <v>2.2000000000000002</v>
      </c>
      <c r="I109" s="15" t="str">
        <f t="shared" si="11"/>
        <v>Poor</v>
      </c>
    </row>
    <row r="110" spans="1:9" x14ac:dyDescent="0.35">
      <c r="A110" s="15" t="s">
        <v>103</v>
      </c>
      <c r="B110" s="12">
        <v>968</v>
      </c>
      <c r="C110" s="12">
        <v>1814</v>
      </c>
      <c r="D110" s="12">
        <f t="shared" si="9"/>
        <v>846</v>
      </c>
      <c r="E110" s="1">
        <v>0.47</v>
      </c>
      <c r="F110" s="15" t="str">
        <f t="shared" si="10"/>
        <v>High</v>
      </c>
      <c r="G110" s="14">
        <v>6</v>
      </c>
      <c r="H110" s="14">
        <v>2.2000000000000002</v>
      </c>
      <c r="I110" s="15" t="str">
        <f t="shared" si="11"/>
        <v>Poor</v>
      </c>
    </row>
    <row r="111" spans="1:9" x14ac:dyDescent="0.35">
      <c r="A111" s="15" t="s">
        <v>101</v>
      </c>
      <c r="B111" s="12">
        <v>2115</v>
      </c>
      <c r="C111" s="12">
        <v>4700</v>
      </c>
      <c r="D111" s="12">
        <f t="shared" si="9"/>
        <v>2585</v>
      </c>
      <c r="E111" s="1">
        <v>0.55000000000000004</v>
      </c>
      <c r="F111" s="15" t="str">
        <f t="shared" si="10"/>
        <v>High</v>
      </c>
      <c r="G111" s="14">
        <v>13</v>
      </c>
      <c r="H111" s="14">
        <v>2.1</v>
      </c>
      <c r="I111" s="15" t="str">
        <f t="shared" si="11"/>
        <v>Poor</v>
      </c>
    </row>
    <row r="112" spans="1:9" x14ac:dyDescent="0.35">
      <c r="A112" s="15" t="s">
        <v>104</v>
      </c>
      <c r="B112" s="12">
        <v>1570</v>
      </c>
      <c r="C112" s="12">
        <v>2988</v>
      </c>
      <c r="D112" s="12">
        <f t="shared" si="9"/>
        <v>1418</v>
      </c>
      <c r="E112" s="1">
        <v>0.47</v>
      </c>
      <c r="F112" s="15" t="str">
        <f t="shared" si="10"/>
        <v>High</v>
      </c>
      <c r="G112" s="14">
        <v>7</v>
      </c>
      <c r="H112" s="14">
        <v>2.1</v>
      </c>
      <c r="I112" s="15" t="str">
        <f t="shared" si="11"/>
        <v>Poor</v>
      </c>
    </row>
    <row r="113" spans="1:9" x14ac:dyDescent="0.35">
      <c r="A113" s="15" t="s">
        <v>113</v>
      </c>
      <c r="B113" s="12">
        <v>450</v>
      </c>
      <c r="C113" s="12">
        <v>900</v>
      </c>
      <c r="D113" s="12">
        <f t="shared" si="9"/>
        <v>450</v>
      </c>
      <c r="E113" s="1">
        <v>0.5</v>
      </c>
      <c r="F113" s="15" t="str">
        <f t="shared" si="10"/>
        <v>High</v>
      </c>
      <c r="G113" s="14">
        <v>1</v>
      </c>
      <c r="H113" s="14">
        <v>2</v>
      </c>
      <c r="I113" s="15" t="str">
        <f t="shared" si="11"/>
        <v>Poor</v>
      </c>
    </row>
  </sheetData>
  <autoFilter ref="A1:I113">
    <sortState ref="A2:I113">
      <sortCondition descending="1" ref="H1:H113"/>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Avg rating by Disc Category</vt:lpstr>
      <vt:lpstr>Product Distribution</vt:lpstr>
      <vt:lpstr>Rship btwn Disc% and reviews</vt:lpstr>
      <vt:lpstr>Rating vs Reviews</vt:lpstr>
      <vt:lpstr>Disc vs Customer Engagements</vt:lpstr>
      <vt:lpstr>High rated Products vs Reviews</vt:lpstr>
      <vt:lpstr>Top 10 disc</vt:lpstr>
      <vt:lpstr>Top 10 by reviews</vt:lpstr>
      <vt:lpstr>Top 10 Rating</vt:lpstr>
      <vt:lpstr>KPIs</vt:lpstr>
      <vt:lpstr>Dashboard</vt:lpstr>
      <vt:lpstr>Excel_jumia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2026-03-28T23:05:04Z</dcterms:created>
  <dcterms:modified xsi:type="dcterms:W3CDTF">2026-04-13T01:15:41Z</dcterms:modified>
</cp:coreProperties>
</file>